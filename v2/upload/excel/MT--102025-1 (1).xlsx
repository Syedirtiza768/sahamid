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10\Downloads\"/>
    </mc:Choice>
  </mc:AlternateContent>
  <xr:revisionPtr revIDLastSave="0" documentId="13_ncr:1_{0763739A-D9E5-4EC0-A08E-8AFA6F94AABC}" xr6:coauthVersionLast="47" xr6:coauthVersionMax="47" xr10:uidLastSave="{00000000-0000-0000-0000-000000000000}"/>
  <bookViews>
    <workbookView xWindow="-120" yWindow="-120" windowWidth="20730" windowHeight="11160" tabRatio="655" firstSheet="1" activeTab="3" xr2:uid="{00000000-000D-0000-FFFF-FFFF00000000}"/>
  </bookViews>
  <sheets>
    <sheet name="112417 - 2 (2)" sheetId="151" r:id="rId1"/>
    <sheet name="Cost-Sheet" sheetId="28" r:id="rId2"/>
    <sheet name="102025-1" sheetId="250" r:id="rId3"/>
    <sheet name="Cash Demand " sheetId="251" r:id="rId4"/>
    <sheet name="Sheet1" sheetId="26" state="hidden" r:id="rId5"/>
    <sheet name="Sheet3" sheetId="162" state="hidden" r:id="rId6"/>
  </sheets>
  <externalReferences>
    <externalReference r:id="rId7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251" l="1"/>
  <c r="M70" i="28"/>
  <c r="C39" i="250"/>
  <c r="C36" i="250"/>
  <c r="C33" i="250"/>
  <c r="B22" i="250"/>
  <c r="D27" i="250" l="1"/>
  <c r="D30" i="250"/>
  <c r="F30" i="250"/>
  <c r="E45" i="28" l="1"/>
  <c r="J49" i="28" l="1"/>
  <c r="J113" i="28" l="1"/>
  <c r="C114" i="28"/>
  <c r="D120" i="28" s="1"/>
  <c r="B114" i="28"/>
  <c r="D122" i="28" s="1"/>
  <c r="A114" i="28"/>
  <c r="C117" i="28" s="1"/>
  <c r="J99" i="28"/>
  <c r="C100" i="28"/>
  <c r="D105" i="28" s="1"/>
  <c r="B100" i="28"/>
  <c r="C107" i="28" s="1"/>
  <c r="A100" i="28"/>
  <c r="C108" i="28" s="1"/>
  <c r="J86" i="28"/>
  <c r="C87" i="28"/>
  <c r="D92" i="28" s="1"/>
  <c r="B87" i="28"/>
  <c r="D95" i="28" s="1"/>
  <c r="A87" i="28"/>
  <c r="C91" i="28" s="1"/>
  <c r="J73" i="28"/>
  <c r="C74" i="28"/>
  <c r="D79" i="28" s="1"/>
  <c r="B74" i="28"/>
  <c r="D76" i="28" s="1"/>
  <c r="A74" i="28"/>
  <c r="C76" i="28" s="1"/>
  <c r="J60" i="28"/>
  <c r="C61" i="28"/>
  <c r="D66" i="28" s="1"/>
  <c r="B61" i="28"/>
  <c r="D64" i="28" s="1"/>
  <c r="A61" i="28"/>
  <c r="C69" i="28" s="1"/>
  <c r="J47" i="28"/>
  <c r="C48" i="28"/>
  <c r="D53" i="28" s="1"/>
  <c r="B48" i="28"/>
  <c r="C54" i="28" s="1"/>
  <c r="A48" i="28"/>
  <c r="C56" i="28" s="1"/>
  <c r="J48" i="28"/>
  <c r="E150" i="28"/>
  <c r="D150" i="28"/>
  <c r="C150" i="28"/>
  <c r="G150" i="28" s="1"/>
  <c r="E149" i="28"/>
  <c r="D149" i="28"/>
  <c r="C149" i="28"/>
  <c r="G149" i="28" s="1"/>
  <c r="E148" i="28"/>
  <c r="D148" i="28"/>
  <c r="C148" i="28"/>
  <c r="E147" i="28"/>
  <c r="D147" i="28"/>
  <c r="C147" i="28"/>
  <c r="E146" i="28"/>
  <c r="D146" i="28"/>
  <c r="C146" i="28"/>
  <c r="G146" i="28" s="1"/>
  <c r="E145" i="28"/>
  <c r="D145" i="28"/>
  <c r="C145" i="28"/>
  <c r="E144" i="28"/>
  <c r="D144" i="28"/>
  <c r="C144" i="28"/>
  <c r="E136" i="28"/>
  <c r="D136" i="28"/>
  <c r="G136" i="28" s="1"/>
  <c r="C136" i="28"/>
  <c r="E135" i="28"/>
  <c r="D135" i="28"/>
  <c r="C135" i="28"/>
  <c r="E134" i="28"/>
  <c r="D134" i="28"/>
  <c r="C134" i="28"/>
  <c r="E133" i="28"/>
  <c r="D133" i="28"/>
  <c r="C133" i="28"/>
  <c r="E132" i="28"/>
  <c r="D132" i="28"/>
  <c r="G132" i="28" s="1"/>
  <c r="C132" i="28"/>
  <c r="E131" i="28"/>
  <c r="D131" i="28"/>
  <c r="C131" i="28"/>
  <c r="E130" i="28"/>
  <c r="D130" i="28"/>
  <c r="C130" i="28"/>
  <c r="G130" i="28" s="1"/>
  <c r="E122" i="28"/>
  <c r="E121" i="28"/>
  <c r="E120" i="28"/>
  <c r="E119" i="28"/>
  <c r="E118" i="28"/>
  <c r="E117" i="28"/>
  <c r="E116" i="28"/>
  <c r="E108" i="28"/>
  <c r="E107" i="28"/>
  <c r="E106" i="28"/>
  <c r="E105" i="28"/>
  <c r="E104" i="28"/>
  <c r="E103" i="28"/>
  <c r="E102" i="28"/>
  <c r="E95" i="28"/>
  <c r="E94" i="28"/>
  <c r="E93" i="28"/>
  <c r="E92" i="28"/>
  <c r="E91" i="28"/>
  <c r="E90" i="28"/>
  <c r="E89" i="28"/>
  <c r="E82" i="28"/>
  <c r="E81" i="28"/>
  <c r="E80" i="28"/>
  <c r="E79" i="28"/>
  <c r="E78" i="28"/>
  <c r="E77" i="28"/>
  <c r="E76" i="28"/>
  <c r="E69" i="28"/>
  <c r="E68" i="28"/>
  <c r="E67" i="28"/>
  <c r="E66" i="28"/>
  <c r="E65" i="28"/>
  <c r="E64" i="28"/>
  <c r="E63" i="28"/>
  <c r="E56" i="28"/>
  <c r="E55" i="28"/>
  <c r="E54" i="28"/>
  <c r="E53" i="28"/>
  <c r="E52" i="28"/>
  <c r="E51" i="28"/>
  <c r="E50" i="28"/>
  <c r="G131" i="28" l="1"/>
  <c r="G135" i="28"/>
  <c r="G145" i="28"/>
  <c r="G134" i="28"/>
  <c r="G148" i="28"/>
  <c r="G144" i="28"/>
  <c r="F130" i="28"/>
  <c r="G133" i="28"/>
  <c r="G137" i="28" s="1"/>
  <c r="J137" i="28" s="1"/>
  <c r="L137" i="28" s="1"/>
  <c r="M137" i="28" s="1"/>
  <c r="F144" i="28"/>
  <c r="G147" i="28"/>
  <c r="D121" i="28"/>
  <c r="D119" i="28"/>
  <c r="G119" i="28" s="1"/>
  <c r="D118" i="28"/>
  <c r="C121" i="28"/>
  <c r="D108" i="28"/>
  <c r="G108" i="28" s="1"/>
  <c r="C120" i="28"/>
  <c r="G120" i="28" s="1"/>
  <c r="C116" i="28"/>
  <c r="D82" i="28"/>
  <c r="D91" i="28"/>
  <c r="G91" i="28" s="1"/>
  <c r="D94" i="28"/>
  <c r="D116" i="28"/>
  <c r="D117" i="28"/>
  <c r="G117" i="28" s="1"/>
  <c r="C119" i="28"/>
  <c r="C118" i="28"/>
  <c r="C122" i="28"/>
  <c r="G122" i="28" s="1"/>
  <c r="C106" i="28"/>
  <c r="D103" i="28"/>
  <c r="C93" i="28"/>
  <c r="C95" i="28"/>
  <c r="G95" i="28" s="1"/>
  <c r="C90" i="28"/>
  <c r="D90" i="28"/>
  <c r="C92" i="28"/>
  <c r="G92" i="28" s="1"/>
  <c r="C102" i="28"/>
  <c r="D63" i="28"/>
  <c r="C89" i="28"/>
  <c r="D102" i="28"/>
  <c r="G76" i="28"/>
  <c r="D93" i="28"/>
  <c r="C79" i="28"/>
  <c r="G79" i="28" s="1"/>
  <c r="C82" i="28"/>
  <c r="D104" i="28"/>
  <c r="D106" i="28"/>
  <c r="D107" i="28"/>
  <c r="G107" i="28" s="1"/>
  <c r="C103" i="28"/>
  <c r="C104" i="28"/>
  <c r="C105" i="28"/>
  <c r="G105" i="28" s="1"/>
  <c r="C68" i="28"/>
  <c r="D89" i="28"/>
  <c r="C67" i="28"/>
  <c r="D69" i="28"/>
  <c r="G69" i="28" s="1"/>
  <c r="C81" i="28"/>
  <c r="C94" i="28"/>
  <c r="D68" i="28"/>
  <c r="F76" i="28"/>
  <c r="D65" i="28"/>
  <c r="C78" i="28"/>
  <c r="D78" i="28"/>
  <c r="D81" i="28"/>
  <c r="D80" i="28"/>
  <c r="D77" i="28"/>
  <c r="C80" i="28"/>
  <c r="C77" i="28"/>
  <c r="C64" i="28"/>
  <c r="G64" i="28" s="1"/>
  <c r="C63" i="28"/>
  <c r="D67" i="28"/>
  <c r="C66" i="28"/>
  <c r="G66" i="28" s="1"/>
  <c r="C65" i="28"/>
  <c r="C52" i="28"/>
  <c r="C50" i="28"/>
  <c r="C51" i="28"/>
  <c r="D51" i="28"/>
  <c r="C53" i="28"/>
  <c r="G53" i="28" s="1"/>
  <c r="D50" i="28"/>
  <c r="G50" i="28" s="1"/>
  <c r="C55" i="28"/>
  <c r="D56" i="28"/>
  <c r="G56" i="28" s="1"/>
  <c r="D55" i="28"/>
  <c r="D52" i="28"/>
  <c r="D54" i="28"/>
  <c r="G54" i="28" s="1"/>
  <c r="A2" i="251"/>
  <c r="C22" i="251"/>
  <c r="C14" i="251"/>
  <c r="C13" i="251"/>
  <c r="C10" i="251"/>
  <c r="B3" i="251"/>
  <c r="A57" i="250"/>
  <c r="D42" i="250"/>
  <c r="C27" i="251" s="1"/>
  <c r="E27" i="251" s="1"/>
  <c r="C28" i="251"/>
  <c r="E28" i="251" s="1"/>
  <c r="C26" i="251"/>
  <c r="E26" i="251" s="1"/>
  <c r="C25" i="251"/>
  <c r="E25" i="251" s="1"/>
  <c r="J24" i="250"/>
  <c r="I24" i="250"/>
  <c r="J23" i="250"/>
  <c r="I23" i="250"/>
  <c r="C24" i="251"/>
  <c r="E24" i="251" s="1"/>
  <c r="J22" i="250"/>
  <c r="I22" i="250"/>
  <c r="J21" i="250"/>
  <c r="I21" i="250"/>
  <c r="J20" i="250"/>
  <c r="I20" i="250"/>
  <c r="C23" i="251"/>
  <c r="E23" i="251" s="1"/>
  <c r="J19" i="250"/>
  <c r="I19" i="250"/>
  <c r="J18" i="250"/>
  <c r="I18" i="250"/>
  <c r="J17" i="250"/>
  <c r="I17" i="250"/>
  <c r="J16" i="250"/>
  <c r="I16" i="250"/>
  <c r="J15" i="250"/>
  <c r="I15" i="250"/>
  <c r="C8" i="251"/>
  <c r="J14" i="250"/>
  <c r="I14" i="250"/>
  <c r="J13" i="250"/>
  <c r="I13" i="250"/>
  <c r="J12" i="250"/>
  <c r="I12" i="250"/>
  <c r="J11" i="250"/>
  <c r="I11" i="250"/>
  <c r="J10" i="250"/>
  <c r="I10" i="250"/>
  <c r="J9" i="250"/>
  <c r="I9" i="250"/>
  <c r="J8" i="250"/>
  <c r="I8" i="250"/>
  <c r="J7" i="250"/>
  <c r="I7" i="250"/>
  <c r="G151" i="28" l="1"/>
  <c r="J151" i="28" s="1"/>
  <c r="L151" i="28" s="1"/>
  <c r="M151" i="28" s="1"/>
  <c r="F50" i="28"/>
  <c r="G121" i="28"/>
  <c r="G118" i="28"/>
  <c r="G104" i="28"/>
  <c r="G106" i="28"/>
  <c r="G94" i="28"/>
  <c r="G116" i="28"/>
  <c r="F116" i="28"/>
  <c r="G63" i="28"/>
  <c r="G103" i="28"/>
  <c r="G82" i="28"/>
  <c r="G102" i="28"/>
  <c r="F102" i="28"/>
  <c r="G93" i="28"/>
  <c r="G90" i="28"/>
  <c r="G52" i="28"/>
  <c r="G89" i="28"/>
  <c r="G78" i="28"/>
  <c r="F63" i="28"/>
  <c r="G81" i="28"/>
  <c r="G67" i="28"/>
  <c r="G68" i="28"/>
  <c r="F89" i="28"/>
  <c r="G80" i="28"/>
  <c r="G77" i="28"/>
  <c r="G65" i="28"/>
  <c r="G51" i="28"/>
  <c r="G55" i="28"/>
  <c r="B45" i="250"/>
  <c r="C45" i="250" s="1"/>
  <c r="D45" i="250"/>
  <c r="G123" i="28" l="1"/>
  <c r="J123" i="28" s="1"/>
  <c r="L123" i="28" s="1"/>
  <c r="G96" i="28"/>
  <c r="J96" i="28" s="1"/>
  <c r="L96" i="28" s="1"/>
  <c r="G109" i="28"/>
  <c r="J109" i="28" s="1"/>
  <c r="L109" i="28" s="1"/>
  <c r="G83" i="28"/>
  <c r="J83" i="28" s="1"/>
  <c r="L83" i="28" s="1"/>
  <c r="G70" i="28"/>
  <c r="J70" i="28" s="1"/>
  <c r="L70" i="28" s="1"/>
  <c r="G57" i="28"/>
  <c r="J57" i="28" s="1"/>
  <c r="L57" i="28" s="1"/>
  <c r="M57" i="28" s="1"/>
  <c r="E45" i="250"/>
  <c r="C16" i="251" s="1"/>
  <c r="E16" i="251" s="1"/>
  <c r="E9" i="251"/>
  <c r="E11" i="251"/>
  <c r="E12" i="251"/>
  <c r="E15" i="251"/>
  <c r="E17" i="251"/>
  <c r="E18" i="251"/>
  <c r="E19" i="251"/>
  <c r="E20" i="251"/>
  <c r="E22" i="251"/>
  <c r="E13" i="251"/>
  <c r="E14" i="251"/>
  <c r="E10" i="251"/>
  <c r="M83" i="28" l="1"/>
  <c r="M109" i="28"/>
  <c r="M123" i="28"/>
  <c r="M96" i="28"/>
  <c r="E8" i="251"/>
  <c r="M154" i="28" l="1"/>
  <c r="B15" i="250" s="1"/>
  <c r="C18" i="250" s="1"/>
  <c r="A50" i="151"/>
  <c r="D35" i="151"/>
  <c r="C32" i="151"/>
  <c r="C29" i="151"/>
  <c r="C26" i="151"/>
  <c r="J24" i="151"/>
  <c r="I24" i="151"/>
  <c r="J23" i="151"/>
  <c r="I23" i="151"/>
  <c r="D23" i="151"/>
  <c r="J22" i="151"/>
  <c r="I22" i="151"/>
  <c r="J21" i="151"/>
  <c r="I21" i="151"/>
  <c r="J20" i="151"/>
  <c r="I20" i="151"/>
  <c r="D20" i="151"/>
  <c r="J19" i="151"/>
  <c r="I19" i="151"/>
  <c r="J18" i="151"/>
  <c r="I18" i="151"/>
  <c r="J17" i="151"/>
  <c r="I17" i="151"/>
  <c r="J16" i="151"/>
  <c r="I16" i="151"/>
  <c r="J15" i="151"/>
  <c r="I15" i="151"/>
  <c r="B15" i="151"/>
  <c r="J14" i="151"/>
  <c r="I14" i="151"/>
  <c r="J13" i="151"/>
  <c r="I13" i="151"/>
  <c r="J12" i="151"/>
  <c r="I12" i="151"/>
  <c r="J11" i="151"/>
  <c r="I11" i="151"/>
  <c r="D11" i="151"/>
  <c r="D12" i="151" s="1"/>
  <c r="C11" i="151"/>
  <c r="C12" i="151" s="1"/>
  <c r="B11" i="151"/>
  <c r="B12" i="151" s="1"/>
  <c r="J10" i="151"/>
  <c r="I10" i="151"/>
  <c r="J9" i="151"/>
  <c r="I9" i="151"/>
  <c r="J8" i="151"/>
  <c r="I8" i="151"/>
  <c r="J7" i="151"/>
  <c r="I7" i="151"/>
  <c r="C19" i="250" l="1"/>
  <c r="C54" i="250" s="1"/>
  <c r="C56" i="250" s="1"/>
  <c r="D18" i="250"/>
  <c r="B18" i="250"/>
  <c r="B38" i="151"/>
  <c r="C38" i="151" s="1"/>
  <c r="D38" i="151"/>
  <c r="D19" i="250" l="1"/>
  <c r="D54" i="250" s="1"/>
  <c r="D56" i="250" s="1"/>
  <c r="B19" i="250"/>
  <c r="B54" i="250" s="1"/>
  <c r="B56" i="250" s="1"/>
  <c r="B47" i="151"/>
  <c r="B49" i="151" s="1"/>
  <c r="D47" i="151"/>
  <c r="D49" i="151" s="1"/>
  <c r="C47" i="151"/>
  <c r="C49" i="151" s="1"/>
  <c r="C21" i="251" l="1"/>
  <c r="E21" i="251" s="1"/>
  <c r="E29" i="251" s="1"/>
</calcChain>
</file>

<file path=xl/sharedStrings.xml><?xml version="1.0" encoding="utf-8"?>
<sst xmlns="http://schemas.openxmlformats.org/spreadsheetml/2006/main" count="437" uniqueCount="172">
  <si>
    <t>ACRYLIC SHEET</t>
  </si>
  <si>
    <t>MISC. EXP</t>
  </si>
  <si>
    <t>H</t>
  </si>
  <si>
    <t>W</t>
  </si>
  <si>
    <t>D</t>
  </si>
  <si>
    <t>Cost</t>
  </si>
  <si>
    <t>Paint Cost</t>
  </si>
  <si>
    <t>Qty</t>
  </si>
  <si>
    <t>Weight</t>
  </si>
  <si>
    <t>I-Bolt</t>
  </si>
  <si>
    <t>INCREASE BY %</t>
  </si>
  <si>
    <t>Price</t>
  </si>
  <si>
    <t>Date</t>
  </si>
  <si>
    <t xml:space="preserve">Sale Case </t>
  </si>
  <si>
    <t xml:space="preserve">Cilent </t>
  </si>
  <si>
    <t xml:space="preserve">Panel Size </t>
  </si>
  <si>
    <t>Sheet Use</t>
  </si>
  <si>
    <t>Sheet SWG</t>
  </si>
  <si>
    <t>14SWG</t>
  </si>
  <si>
    <t>16SWG</t>
  </si>
  <si>
    <t>18SWG</t>
  </si>
  <si>
    <t>Sheet Weight</t>
  </si>
  <si>
    <t>Sheet Cost</t>
  </si>
  <si>
    <t>Last Update Date</t>
  </si>
  <si>
    <t xml:space="preserve">MS Sheet </t>
  </si>
  <si>
    <t>Sheet Price/Kg</t>
  </si>
  <si>
    <t xml:space="preserve">Paint Cost </t>
  </si>
  <si>
    <t>M/F=7032</t>
  </si>
  <si>
    <t>HINGES</t>
  </si>
  <si>
    <t xml:space="preserve">Model </t>
  </si>
  <si>
    <t>LOCK</t>
  </si>
  <si>
    <t>Model</t>
  </si>
  <si>
    <t>Lock</t>
  </si>
  <si>
    <t xml:space="preserve"> GAS KIT</t>
  </si>
  <si>
    <t>Gas Kit</t>
  </si>
  <si>
    <t>Cable Duct</t>
  </si>
  <si>
    <t>Bus Bar</t>
  </si>
  <si>
    <t>Wiring Cost</t>
  </si>
  <si>
    <t>Labour</t>
  </si>
  <si>
    <t>Sheet Selection</t>
  </si>
  <si>
    <t>Total Cost</t>
  </si>
  <si>
    <t>20x5</t>
  </si>
  <si>
    <t>25x5</t>
  </si>
  <si>
    <t>25x10</t>
  </si>
  <si>
    <t>30x5</t>
  </si>
  <si>
    <t>30x10</t>
  </si>
  <si>
    <t>40x5</t>
  </si>
  <si>
    <t>40x10</t>
  </si>
  <si>
    <t>50x5</t>
  </si>
  <si>
    <t>50x10</t>
  </si>
  <si>
    <t>60x5</t>
  </si>
  <si>
    <t>60x10</t>
  </si>
  <si>
    <t>80x5</t>
  </si>
  <si>
    <t>80x10</t>
  </si>
  <si>
    <t>100x5</t>
  </si>
  <si>
    <t>100x10</t>
  </si>
  <si>
    <t>120x5</t>
  </si>
  <si>
    <t>120x10</t>
  </si>
  <si>
    <t>150x10</t>
  </si>
  <si>
    <t>Bus Bar/Kg</t>
  </si>
  <si>
    <t>Final Cost</t>
  </si>
  <si>
    <t>Weight/kg</t>
  </si>
  <si>
    <t>MS Sheet</t>
  </si>
  <si>
    <t>SS Sheet</t>
  </si>
  <si>
    <t>GI Sheet</t>
  </si>
  <si>
    <t>HL 030</t>
  </si>
  <si>
    <t>HL 027</t>
  </si>
  <si>
    <t>HL 056</t>
  </si>
  <si>
    <t>HL 051</t>
  </si>
  <si>
    <t>MS 480</t>
  </si>
  <si>
    <t>MS 408</t>
  </si>
  <si>
    <t>BNL 22</t>
  </si>
  <si>
    <t>PL 130</t>
  </si>
  <si>
    <t>PL 150</t>
  </si>
  <si>
    <t>25x25</t>
  </si>
  <si>
    <t>25x40</t>
  </si>
  <si>
    <t>33x33</t>
  </si>
  <si>
    <t>40x40</t>
  </si>
  <si>
    <t>40x60</t>
  </si>
  <si>
    <t>60x40</t>
  </si>
  <si>
    <t>60x60</t>
  </si>
  <si>
    <t>80x80</t>
  </si>
  <si>
    <t>100x100</t>
  </si>
  <si>
    <t>Qty(Feet)</t>
  </si>
  <si>
    <t>Salve Cost</t>
  </si>
  <si>
    <t>M/F7035</t>
  </si>
  <si>
    <t>Depth/MM</t>
  </si>
  <si>
    <t>100-200</t>
  </si>
  <si>
    <t>250-300</t>
  </si>
  <si>
    <t>350-450</t>
  </si>
  <si>
    <t>500-600</t>
  </si>
  <si>
    <t>700-800</t>
  </si>
  <si>
    <t>900-1200</t>
  </si>
  <si>
    <t xml:space="preserve">Price </t>
  </si>
  <si>
    <t>Update</t>
  </si>
  <si>
    <t>13.06.2022</t>
  </si>
  <si>
    <t>Saleeve Cost</t>
  </si>
  <si>
    <t>Metron</t>
  </si>
  <si>
    <t>Rent</t>
  </si>
  <si>
    <t>as per imran butt</t>
  </si>
  <si>
    <t>07.07.2022</t>
  </si>
  <si>
    <t xml:space="preserve">Date: </t>
  </si>
  <si>
    <t xml:space="preserve">Doc # </t>
  </si>
  <si>
    <t>S.No</t>
  </si>
  <si>
    <t xml:space="preserve">Expense Head </t>
  </si>
  <si>
    <t xml:space="preserve">Budgeted Cost </t>
  </si>
  <si>
    <t>Already Paid</t>
  </si>
  <si>
    <t xml:space="preserve">Current Demand </t>
  </si>
  <si>
    <t>TotalCost</t>
  </si>
  <si>
    <t>Bending Cost</t>
  </si>
  <si>
    <t>HDG Cost</t>
  </si>
  <si>
    <t>Travelling Cost</t>
  </si>
  <si>
    <t xml:space="preserve">Purchase </t>
  </si>
  <si>
    <t>Food</t>
  </si>
  <si>
    <t>threading</t>
  </si>
  <si>
    <t>Cutting Disk</t>
  </si>
  <si>
    <t>Granding Disk</t>
  </si>
  <si>
    <t>Buffing Disk</t>
  </si>
  <si>
    <t>MS Rod</t>
  </si>
  <si>
    <t>MS Sheets</t>
  </si>
  <si>
    <t>Cable</t>
  </si>
  <si>
    <t>Made By:</t>
  </si>
  <si>
    <t>Approved By:</t>
  </si>
  <si>
    <t>Director:</t>
  </si>
  <si>
    <t>Sale Case#</t>
  </si>
  <si>
    <t>Unit Cost</t>
  </si>
  <si>
    <t>Over Time/Labour</t>
  </si>
  <si>
    <t xml:space="preserve">Selling </t>
  </si>
  <si>
    <t>Project Budget</t>
  </si>
  <si>
    <t>MIS.EXP</t>
  </si>
  <si>
    <t>Bus Bar &amp; Salveeve</t>
  </si>
  <si>
    <t>YES</t>
  </si>
  <si>
    <t>Floor Mount</t>
  </si>
  <si>
    <t>NO</t>
  </si>
  <si>
    <t>Wall Mount</t>
  </si>
  <si>
    <t>Door-1</t>
  </si>
  <si>
    <t xml:space="preserve">Cover Plate </t>
  </si>
  <si>
    <t>Panel Type</t>
  </si>
  <si>
    <t>Thinckness</t>
  </si>
  <si>
    <t>Front</t>
  </si>
  <si>
    <t>Rear</t>
  </si>
  <si>
    <t>Right</t>
  </si>
  <si>
    <t>Left</t>
  </si>
  <si>
    <t>Top</t>
  </si>
  <si>
    <t>Bottom</t>
  </si>
  <si>
    <t>Plate</t>
  </si>
  <si>
    <t>Density</t>
  </si>
  <si>
    <t xml:space="preserve">Total </t>
  </si>
  <si>
    <t>Sheet</t>
  </si>
  <si>
    <t>Door-2</t>
  </si>
  <si>
    <t>Door-3</t>
  </si>
  <si>
    <t>Door-4</t>
  </si>
  <si>
    <t>Door-5</t>
  </si>
  <si>
    <t>Door-6</t>
  </si>
  <si>
    <t>Door-7</t>
  </si>
  <si>
    <t>Door-8</t>
  </si>
  <si>
    <t>Total Sheet</t>
  </si>
  <si>
    <t>Door#1</t>
  </si>
  <si>
    <t>Cover Plate</t>
  </si>
  <si>
    <t>Door#2</t>
  </si>
  <si>
    <t>Door#3</t>
  </si>
  <si>
    <t>Door#4</t>
  </si>
  <si>
    <t>Door#5</t>
  </si>
  <si>
    <t>Door#6</t>
  </si>
  <si>
    <t>Canopy</t>
  </si>
  <si>
    <t>24.09.2022</t>
  </si>
  <si>
    <t>24-9-22</t>
  </si>
  <si>
    <t>27.09.2022</t>
  </si>
  <si>
    <t xml:space="preserve"> MT-2280-2022-09-26--102025</t>
  </si>
  <si>
    <t>Haji Ramzan Cold Storage -1</t>
  </si>
  <si>
    <t>Actual Cost</t>
  </si>
  <si>
    <t>Profit 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</si>
</sst>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0" xfId="0" applyBorder="1"/>
    <xf numFmtId="9" fontId="0" fillId="0" borderId="1" xfId="0" applyNumberFormat="1" applyBorder="1"/>
    <xf numFmtId="0" fontId="0" fillId="0" borderId="1" xfId="0" applyFill="1" applyBorder="1"/>
    <xf numFmtId="0" fontId="1" fillId="4" borderId="1" xfId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/>
    <xf numFmtId="4" fontId="0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0" fontId="1" fillId="0" borderId="0" xfId="1"/>
    <xf numFmtId="0" fontId="1" fillId="0" borderId="0" xfId="1" applyNumberForma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3" fontId="0" fillId="0" borderId="1" xfId="0" applyNumberFormat="1" applyBorder="1"/>
    <xf numFmtId="0" fontId="0" fillId="7" borderId="1" xfId="0" applyFill="1" applyBorder="1"/>
    <xf numFmtId="1" fontId="0" fillId="0" borderId="1" xfId="0" applyNumberFormat="1" applyBorder="1"/>
    <xf numFmtId="1" fontId="4" fillId="2" borderId="1" xfId="0" applyNumberFormat="1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1" xfId="1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8" borderId="1" xfId="0" applyNumberFormat="1" applyFont="1" applyFill="1" applyBorder="1" applyAlignment="1">
      <alignment horizontal="center"/>
    </xf>
    <xf numFmtId="0" fontId="0" fillId="8" borderId="1" xfId="0" applyFont="1" applyFill="1" applyBorder="1"/>
    <xf numFmtId="1" fontId="0" fillId="8" borderId="1" xfId="0" applyNumberFormat="1" applyFont="1" applyFill="1" applyBorder="1"/>
    <xf numFmtId="4" fontId="0" fillId="8" borderId="1" xfId="0" applyNumberFormat="1" applyFont="1" applyFill="1" applyBorder="1" applyAlignment="1">
      <alignment horizontal="center"/>
    </xf>
    <xf numFmtId="4" fontId="0" fillId="8" borderId="1" xfId="0" applyNumberFormat="1" applyFont="1" applyFill="1" applyBorder="1"/>
    <xf numFmtId="0" fontId="0" fillId="8" borderId="0" xfId="0" applyFill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0" borderId="1" xfId="1" applyBorder="1"/>
    <xf numFmtId="0" fontId="0" fillId="4" borderId="4" xfId="0" applyFill="1" applyBorder="1"/>
    <xf numFmtId="0" fontId="0" fillId="12" borderId="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2" fontId="0" fillId="0" borderId="0" xfId="0" applyNumberFormat="1"/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" fillId="0" borderId="8" xfId="1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%20kashif/Desktop/Working%20Panel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2417 - 2 (2)"/>
      <sheetName val="Cost-Sheet"/>
      <sheetName val="US-Apparel-1"/>
      <sheetName val="US-Apparel-2"/>
      <sheetName val="KNGPS"/>
      <sheetName val="Agatos"/>
      <sheetName val="Agatos 2"/>
      <sheetName val="Agatos 3"/>
      <sheetName val="SR"/>
      <sheetName val="SR 1"/>
      <sheetName val="SR 2"/>
      <sheetName val="Jamal Sir"/>
      <sheetName val="Show Room"/>
      <sheetName val="Show Room 1"/>
      <sheetName val="SR3"/>
      <sheetName val="Angro"/>
      <sheetName val="SR4"/>
      <sheetName val="SR5"/>
      <sheetName val="Angro 1"/>
      <sheetName val="Angro 2"/>
      <sheetName val="Angro 3"/>
      <sheetName val="Angro 4"/>
      <sheetName val="SR6"/>
      <sheetName val="SR7"/>
      <sheetName val="FFC-1"/>
      <sheetName val="FFC-2"/>
      <sheetName val="SR8"/>
      <sheetName val="SR9"/>
      <sheetName val="SR10"/>
      <sheetName val="BSPM"/>
      <sheetName val="BSPM 1"/>
      <sheetName val="Zephyr"/>
      <sheetName val="Friesland Campina"/>
      <sheetName val="Shamim 1"/>
      <sheetName val="Shamim 2"/>
      <sheetName val="Shamim 3"/>
      <sheetName val="Shamim 4"/>
      <sheetName val="Change Paint Cost"/>
      <sheetName val="MTM"/>
      <sheetName val="MTM 1"/>
      <sheetName val="MTM 2"/>
      <sheetName val="SR12"/>
      <sheetName val="SR13"/>
      <sheetName val="KNGPS1"/>
      <sheetName val="KNGPS2"/>
      <sheetName val="SR14"/>
      <sheetName val="BEST WAY"/>
      <sheetName val="Pantera 1"/>
      <sheetName val="Pantera 2"/>
      <sheetName val="Pantera 3"/>
      <sheetName val="Pantera 4"/>
      <sheetName val="Pantera 5"/>
      <sheetName val="Jamal Sir Panel"/>
      <sheetName val="Shehbaz Garment"/>
      <sheetName val="Engro Fertilizer"/>
      <sheetName val="US Apparel"/>
      <sheetName val="US Apparel 1"/>
      <sheetName val="US Apparel 1 (2)"/>
      <sheetName val="Engro4"/>
      <sheetName val="Show Room 5"/>
      <sheetName val="Show Room 6"/>
      <sheetName val="Show Room 7"/>
      <sheetName val="122857"/>
      <sheetName val="122857 -1"/>
      <sheetName val="014056"/>
      <sheetName val="020013"/>
      <sheetName val="Show Room 8"/>
      <sheetName val="94206"/>
      <sheetName val="075308"/>
      <sheetName val="075308 - 1"/>
      <sheetName val="075308 - 2"/>
      <sheetName val="075308 - 3"/>
      <sheetName val="075308 - 4"/>
      <sheetName val="075308 - 5"/>
      <sheetName val="075308 - 6"/>
      <sheetName val="075308 - 7"/>
      <sheetName val="075308 - 8"/>
      <sheetName val="Metron"/>
      <sheetName val="Metron 1"/>
      <sheetName val="Metron-2"/>
      <sheetName val="091721"/>
      <sheetName val="091721-1"/>
      <sheetName val="091721-2"/>
      <sheetName val="091721-3"/>
      <sheetName val="091721-4"/>
      <sheetName val="091721-5"/>
      <sheetName val="091721-6"/>
      <sheetName val="091721-7"/>
      <sheetName val="091721-8"/>
      <sheetName val="091721-9"/>
      <sheetName val="091721-10"/>
      <sheetName val="091721-11"/>
      <sheetName val="091721-12"/>
      <sheetName val="091721-13"/>
      <sheetName val="091721-14"/>
      <sheetName val="091721-15"/>
      <sheetName val="091721-16"/>
      <sheetName val="091721-17"/>
      <sheetName val="091721-18"/>
      <sheetName val="21403"/>
      <sheetName val="22400"/>
      <sheetName val="43452"/>
      <sheetName val="43452 - 1"/>
      <sheetName val="43452 - 2"/>
      <sheetName val="025804"/>
      <sheetName val="023043"/>
      <sheetName val="105602"/>
      <sheetName val="123324"/>
      <sheetName val="123324 - 1"/>
      <sheetName val="114420"/>
      <sheetName val="60855"/>
      <sheetName val="104226"/>
      <sheetName val="104226 - 1"/>
      <sheetName val="104226 - 2"/>
      <sheetName val="104226 - 3"/>
      <sheetName val="120526"/>
      <sheetName val="33653"/>
      <sheetName val="54947"/>
      <sheetName val="093619"/>
      <sheetName val="112417"/>
      <sheetName val="112417 - 1"/>
      <sheetName val="112417 - 2"/>
      <sheetName val="112417 - 3"/>
      <sheetName val="112417 - 4"/>
      <sheetName val="112417 - 5"/>
      <sheetName val="112417 - 6"/>
      <sheetName val="112417 - 7"/>
      <sheetName val="112417 - 8"/>
      <sheetName val="023239"/>
      <sheetName val="Cable tray  format(yet not com)"/>
      <sheetName val="Sheet1"/>
      <sheetName val="125424"/>
      <sheetName val="125424 - 1"/>
      <sheetName val="SR-20"/>
      <sheetName val="Sheet3"/>
      <sheetName val="031727"/>
      <sheetName val="031727 (2)"/>
      <sheetName val="101131"/>
      <sheetName val="025804-1"/>
      <sheetName val="115016"/>
      <sheetName val="112829"/>
      <sheetName val="054531"/>
      <sheetName val="Show Room 20"/>
      <sheetName val="031727-1"/>
      <sheetName val="55531"/>
      <sheetName val="55358"/>
      <sheetName val="55358-1"/>
      <sheetName val="55358-2"/>
      <sheetName val="44232"/>
      <sheetName val="44232-1"/>
      <sheetName val="101928"/>
      <sheetName val="92921"/>
      <sheetName val="92921 -1"/>
      <sheetName val="92921 -2"/>
      <sheetName val="92921 -3"/>
      <sheetName val="92921 -4"/>
      <sheetName val="92921 -5"/>
      <sheetName val="92921 -6"/>
      <sheetName val="92921 -7"/>
      <sheetName val="32712"/>
      <sheetName val="102904"/>
      <sheetName val="41050"/>
      <sheetName val="41050 -1"/>
      <sheetName val="43053"/>
      <sheetName val="41050-2"/>
      <sheetName val="112330"/>
      <sheetName val="022146"/>
      <sheetName val="110148  "/>
      <sheetName val="042911"/>
      <sheetName val="51945-CDB  "/>
      <sheetName val="51945-LPDB"/>
      <sheetName val="51945-MCDB"/>
      <sheetName val="51945-PFI"/>
      <sheetName val="51945-MAIN LT"/>
      <sheetName val="121239"/>
      <sheetName val="020009"/>
      <sheetName val="023430 DB-01"/>
      <sheetName val="023430 DB-02"/>
      <sheetName val="Sheet2"/>
      <sheetName val="Sheet4"/>
      <sheetName val="100418"/>
      <sheetName val="CNGPS#1637"/>
      <sheetName val="035855"/>
      <sheetName val="Ammar 100pic"/>
      <sheetName val="102001"/>
      <sheetName val="102001-1"/>
      <sheetName val="051915"/>
      <sheetName val="120835"/>
      <sheetName val="BSPM-1"/>
      <sheetName val="BSPM-2"/>
      <sheetName val="105811"/>
      <sheetName val="102714"/>
      <sheetName val="040041"/>
      <sheetName val="100612"/>
      <sheetName val="100612-1"/>
      <sheetName val="Millat"/>
      <sheetName val="043758"/>
      <sheetName val="124524"/>
      <sheetName val="Fauji Fresh"/>
      <sheetName val="Shop"/>
      <sheetName val="010154"/>
      <sheetName val="010154-1"/>
      <sheetName val="010154-2"/>
      <sheetName val="010154-3"/>
      <sheetName val="065714"/>
      <sheetName val="065714-1"/>
      <sheetName val="Engro"/>
      <sheetName val="Engro-1"/>
      <sheetName val="UPS Rack"/>
      <sheetName val="91721"/>
      <sheetName val="91910"/>
      <sheetName val="91910-1"/>
      <sheetName val="Excel Cotton"/>
      <sheetName val="052500"/>
      <sheetName val="054647"/>
      <sheetName val="43738"/>
    </sheetNames>
    <sheetDataSet>
      <sheetData sheetId="0"/>
      <sheetData sheetId="1">
        <row r="7">
          <cell r="B7">
            <v>295</v>
          </cell>
        </row>
        <row r="8">
          <cell r="I8">
            <v>437.5</v>
          </cell>
        </row>
        <row r="32">
          <cell r="H32">
            <v>270</v>
          </cell>
        </row>
        <row r="33">
          <cell r="H33">
            <v>370</v>
          </cell>
        </row>
        <row r="34">
          <cell r="H34">
            <v>400</v>
          </cell>
        </row>
        <row r="35">
          <cell r="H35">
            <v>530</v>
          </cell>
        </row>
        <row r="36">
          <cell r="H36">
            <v>580</v>
          </cell>
        </row>
        <row r="37">
          <cell r="H37">
            <v>650</v>
          </cell>
        </row>
        <row r="38">
          <cell r="H38">
            <v>750</v>
          </cell>
        </row>
        <row r="39">
          <cell r="H39">
            <v>1000</v>
          </cell>
        </row>
        <row r="40">
          <cell r="H40">
            <v>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J50"/>
  <sheetViews>
    <sheetView zoomScale="115" zoomScaleNormal="115" workbookViewId="0">
      <selection activeCell="I52" sqref="I52"/>
    </sheetView>
  </sheetViews>
  <sheetFormatPr defaultRowHeight="15" x14ac:dyDescent="0.25"/>
  <cols>
    <col min="1" max="1" width="15" bestFit="1" customWidth="1"/>
    <col min="2" max="2" width="12" bestFit="1" customWidth="1"/>
    <col min="4" max="4" width="13.7109375" bestFit="1" customWidth="1"/>
    <col min="5" max="5" width="9.140625" customWidth="1"/>
    <col min="10" max="10" width="12.28515625" bestFit="1" customWidth="1"/>
  </cols>
  <sheetData>
    <row r="1" spans="1:10" x14ac:dyDescent="0.25">
      <c r="A1" s="5" t="s">
        <v>12</v>
      </c>
      <c r="B1" s="66" t="s">
        <v>100</v>
      </c>
      <c r="C1" s="67"/>
      <c r="D1" s="68"/>
    </row>
    <row r="2" spans="1:10" x14ac:dyDescent="0.25">
      <c r="A2" s="5" t="s">
        <v>13</v>
      </c>
      <c r="B2" s="66">
        <v>112417</v>
      </c>
      <c r="C2" s="67"/>
      <c r="D2" s="68"/>
    </row>
    <row r="3" spans="1:10" x14ac:dyDescent="0.25">
      <c r="A3" s="5" t="s">
        <v>14</v>
      </c>
      <c r="B3" s="66" t="s">
        <v>97</v>
      </c>
      <c r="C3" s="67"/>
      <c r="D3" s="68"/>
    </row>
    <row r="4" spans="1:10" x14ac:dyDescent="0.25">
      <c r="B4" s="69"/>
      <c r="C4" s="69"/>
      <c r="D4" s="69"/>
    </row>
    <row r="6" spans="1:10" x14ac:dyDescent="0.25">
      <c r="A6" s="64" t="s">
        <v>15</v>
      </c>
      <c r="B6" s="4" t="s">
        <v>2</v>
      </c>
      <c r="C6" s="4" t="s">
        <v>3</v>
      </c>
      <c r="D6" s="4" t="s">
        <v>4</v>
      </c>
      <c r="G6" s="6" t="s">
        <v>36</v>
      </c>
      <c r="H6" s="6" t="s">
        <v>83</v>
      </c>
      <c r="I6" s="6" t="s">
        <v>8</v>
      </c>
      <c r="J6" s="6" t="s">
        <v>96</v>
      </c>
    </row>
    <row r="7" spans="1:10" x14ac:dyDescent="0.25">
      <c r="A7" s="65"/>
      <c r="B7" s="19">
        <v>1300</v>
      </c>
      <c r="C7" s="19">
        <v>1050</v>
      </c>
      <c r="D7" s="19">
        <v>450</v>
      </c>
      <c r="G7" s="1" t="s">
        <v>44</v>
      </c>
      <c r="H7" s="19">
        <v>10.5</v>
      </c>
      <c r="I7" s="1">
        <f>IF(G7="20x5",H7*0.3)+IF(G7="25x5",H7*0.4)+IF(G7="25x10",H7*0.7)+IF(G7="30x5",H7*0.45)+IF(G7="30x10",H7*0.85)+IF(G7="40x5",H7*0.6)+IF(G7="40x10",H7*1.1)+IF(G7="50x5",H7*0.7)+IF(G7="50x10",H7*1.4)+IF(G7="60x5",H7*0.85)+IF(G7="60x10",H7*1.7)+IF(G7="80x5",H7*1.1)+IF(G7="80x10",H7*2.2)+IF(G7="100x5",H7*1.4)+IF(G7="100x10",H7*2.8)+IF(G7="120x5",H7*1.67)+IF(G7="120x10",H7*3.3)+IF(G7="150x10",H7*4.2)</f>
        <v>4.7250000000000005</v>
      </c>
      <c r="J7" s="1">
        <f>IF(G7="20x5",H7*43*1.5)+IF(G7="25x5",H7*48*1.5)+IF(G7="25x10",H7*55*1.5)+IF(G7="30x5",H7*60*1.5)+IF(G7="30x10",H7*65*1.5)+IF(G7="40x5",H7*65*1.5)+IF(G7="40x10",H7*75*1.5)+IF(G7="50x5",H7*75*1.5)+IF(G7="50x10",H7*85*1.5)+IF(G7="60x5",H7*85*1.5)+IF(G7="60x10",H7*95*1.5)+IF(G7="80x5",H7*110*1.5)+IF(G7="80x10",H7*115*1.5)+IF(G7="100x5",H7*125*1.5)+IF(G7="100x10",H7*135*1.5)+IF(G7="120x5",H7*145*1.5)+IF(G7="120x10",H7*155*1.5)+IF(G7="150x10",H7*185*1.5)</f>
        <v>945</v>
      </c>
    </row>
    <row r="8" spans="1:10" x14ac:dyDescent="0.25">
      <c r="A8" s="5" t="s">
        <v>16</v>
      </c>
      <c r="B8" s="66">
        <v>3.75</v>
      </c>
      <c r="C8" s="67"/>
      <c r="D8" s="68"/>
      <c r="G8" s="1" t="s">
        <v>42</v>
      </c>
      <c r="H8" s="19">
        <v>15.5</v>
      </c>
      <c r="I8" s="1">
        <f t="shared" ref="I8:I24" si="0">IF(G8="20x5",H8*0.3)+IF(G8="25x5",H8*0.4)+IF(G8="25x10",H8*0.7)+IF(G8="30x5",H8*0.45)+IF(G8="30x10",H8*0.85)+IF(G8="40x5",H8*0.6)+IF(G8="40x10",H8*1.1)+IF(G8="50x5",H8*0.7)+IF(G8="50x10",H8*1.4)+IF(G8="60x5",H8*0.85)+IF(G8="60x10",H8*1.7)+IF(G8="80x5",H8*1.1)+IF(G8="80x10",H8*2.2)+IF(G8="100x5",H8*1.4)+IF(G8="100x10",H8*2.8)+IF(G8="120x5",H8*1.67)+IF(G8="120x10",H8*3.3)+IF(G8="150x10",H8*4.2)</f>
        <v>6.2</v>
      </c>
      <c r="J8" s="1">
        <f t="shared" ref="J8:J24" si="1">IF(G8="20x5",H8*43*1.5)+IF(G8="25x5",H8*48*1.5)+IF(G8="25x10",H8*55*1.5)+IF(G8="30x5",H8*60*1.5)+IF(G8="30x10",H8*65*1.5)+IF(G8="40x5",H8*65*1.5)+IF(G8="40x10",H8*75*1.5)+IF(G8="50x5",H8*75*1.5)+IF(G8="50x10",H8*85*1.5)+IF(G8="60x5",H8*85*1.5)+IF(G8="60x10",H8*95*1.5)+IF(G8="80x5",H8*110*1.5)+IF(G8="80x10",H8*115*1.5)+IF(G8="100x5",H8*125*1.5)+IF(G8="100x10",H8*135*1.5)+IF(G8="120x5",H8*145*1.5)+IF(G8="120x10",H8*155*1.5)+IF(G8="150x10",H8*185*1.5)</f>
        <v>1116</v>
      </c>
    </row>
    <row r="9" spans="1:10" x14ac:dyDescent="0.25">
      <c r="A9" s="5" t="s">
        <v>39</v>
      </c>
      <c r="B9" s="70" t="s">
        <v>62</v>
      </c>
      <c r="C9" s="70"/>
      <c r="D9" s="70"/>
      <c r="G9" s="1" t="s">
        <v>41</v>
      </c>
      <c r="H9" s="19">
        <v>3.5</v>
      </c>
      <c r="I9" s="1">
        <f t="shared" si="0"/>
        <v>1.05</v>
      </c>
      <c r="J9" s="1">
        <f t="shared" si="1"/>
        <v>225.75</v>
      </c>
    </row>
    <row r="10" spans="1:10" x14ac:dyDescent="0.25">
      <c r="A10" s="5" t="s">
        <v>17</v>
      </c>
      <c r="B10" s="4" t="s">
        <v>18</v>
      </c>
      <c r="C10" s="4" t="s">
        <v>19</v>
      </c>
      <c r="D10" s="4" t="s">
        <v>20</v>
      </c>
      <c r="G10" s="1"/>
      <c r="H10" s="1"/>
      <c r="I10" s="1">
        <f t="shared" si="0"/>
        <v>0</v>
      </c>
      <c r="J10" s="1">
        <f t="shared" si="1"/>
        <v>0</v>
      </c>
    </row>
    <row r="11" spans="1:10" x14ac:dyDescent="0.25">
      <c r="A11" s="5" t="s">
        <v>21</v>
      </c>
      <c r="B11" s="1">
        <f>B8*48.64</f>
        <v>182.4</v>
      </c>
      <c r="C11" s="1">
        <f>B8*38.4</f>
        <v>144</v>
      </c>
      <c r="D11" s="1">
        <f>B8*28</f>
        <v>105</v>
      </c>
      <c r="G11" s="1"/>
      <c r="H11" s="1"/>
      <c r="I11" s="1">
        <f t="shared" si="0"/>
        <v>0</v>
      </c>
      <c r="J11" s="1">
        <f t="shared" si="1"/>
        <v>0</v>
      </c>
    </row>
    <row r="12" spans="1:10" x14ac:dyDescent="0.25">
      <c r="A12" s="5" t="s">
        <v>22</v>
      </c>
      <c r="B12" s="1">
        <f>IF(B9="MS Sheet",B11*'Cost-Sheet'!B7)+IF(B9="SS Sheet",B11*'Cost-Sheet'!C7)+IF(B9="GI Sheet",B11*'Cost-Sheet'!D7)</f>
        <v>52896</v>
      </c>
      <c r="C12" s="1">
        <f>IF(B9="MS Sheet",C11*'Cost-Sheet'!B7)+IF(B9="SS Sheet",C11*'Cost-Sheet'!C7)+IF(B9="GI Sheet",C11*'Cost-Sheet'!D7)</f>
        <v>41760</v>
      </c>
      <c r="D12" s="1">
        <f>IF(B9="MS Sheet",D11*'Cost-Sheet'!B7)+IF(B9="SS Sheet",D11*'Cost-Sheet'!C7)+IF(B9="GI Sheet",D11*'Cost-Sheet'!D7)</f>
        <v>30450</v>
      </c>
      <c r="G12" s="1"/>
      <c r="H12" s="1"/>
      <c r="I12" s="1">
        <f t="shared" si="0"/>
        <v>0</v>
      </c>
      <c r="J12" s="1">
        <f t="shared" si="1"/>
        <v>0</v>
      </c>
    </row>
    <row r="13" spans="1:10" x14ac:dyDescent="0.25">
      <c r="G13" s="1"/>
      <c r="H13" s="1"/>
      <c r="I13" s="1">
        <f t="shared" si="0"/>
        <v>0</v>
      </c>
      <c r="J13" s="1">
        <f t="shared" si="1"/>
        <v>0</v>
      </c>
    </row>
    <row r="14" spans="1:10" x14ac:dyDescent="0.25">
      <c r="A14" s="71" t="s">
        <v>26</v>
      </c>
      <c r="B14" s="72"/>
      <c r="C14" s="72"/>
      <c r="D14" s="73"/>
      <c r="G14" s="1"/>
      <c r="H14" s="1"/>
      <c r="I14" s="1">
        <f t="shared" si="0"/>
        <v>0</v>
      </c>
      <c r="J14" s="1">
        <f t="shared" si="1"/>
        <v>0</v>
      </c>
    </row>
    <row r="15" spans="1:10" x14ac:dyDescent="0.25">
      <c r="A15" s="19">
        <v>7035</v>
      </c>
      <c r="B15" s="66">
        <f>IF(AND(OR(D7=100,D7=125,D7=130,D7=150,D7=160,D7=200),A15=7035),'Cost-Sheet'!I8*B7*C7/645.16/144)+IF(AND(OR(D7=250,D7=300),A15=7035),'Cost-Sheet'!I9*B7*C7/645.16/144)+IF(AND(OR(D7=350,D7=380,D7=400,D7=450),A15=7035),'Cost-Sheet'!I10*B7*C7/645.16/144)+IF(AND(OR(D7=500,D7=600),A15=7035),'Cost-Sheet'!I11*B7*C7/645.16/144)+IF(AND(OR(D7=700,D7=750,D7=800),A15=7035),'Cost-Sheet'!I12*B7*C7/645.16/144)+IF(AND(OR(D7=900,D7=1000,D7=1100,D7=1200),A15=7035),'Cost-Sheet'!I13*B7*C7/645.16/144)+IF(AND(OR(D7=100,D7=125,D7=130,D7=150,D7=160,D7=200),A15=7032),'Cost-Sheet'!H8*B7*C7/645.16/144)+IF(AND(OR(D7=250,D7=300),A15=7032),'Cost-Sheet'!H9*B7*C7/645.16/144)+IF(AND(OR(D7=350,D7=380,D7=400,D7=450),A15=7032),'Cost-Sheet'!H10*B7*C7/645.16/144)+IF(AND(OR(D7=500,D7=600),A15=7032),'Cost-Sheet'!H11*B7*C7/645.16/144)+IF(AND(OR(D7=700,D7=750,D7=800),A15=7032),'Cost-Sheet'!H12*B7*C7/645.16/144)+IF(AND(OR(D7=900,D7=1000,D7=1100,D7=1200),A15=7032),'Cost-Sheet'!H13*B7*C7/645.16/144)</f>
        <v>8264.6649668299342</v>
      </c>
      <c r="C15" s="67"/>
      <c r="D15" s="68"/>
      <c r="G15" s="1"/>
      <c r="H15" s="1"/>
      <c r="I15" s="1">
        <f t="shared" si="0"/>
        <v>0</v>
      </c>
      <c r="J15" s="1">
        <f t="shared" si="1"/>
        <v>0</v>
      </c>
    </row>
    <row r="16" spans="1:10" x14ac:dyDescent="0.25">
      <c r="G16" s="1"/>
      <c r="H16" s="1"/>
      <c r="I16" s="1">
        <f t="shared" si="0"/>
        <v>0</v>
      </c>
      <c r="J16" s="1">
        <f t="shared" si="1"/>
        <v>0</v>
      </c>
    </row>
    <row r="17" spans="1:10" x14ac:dyDescent="0.25">
      <c r="A17" s="4" t="s">
        <v>98</v>
      </c>
      <c r="B17" s="66">
        <v>2000</v>
      </c>
      <c r="C17" s="67"/>
      <c r="D17" s="68"/>
      <c r="G17" s="1"/>
      <c r="H17" s="1"/>
      <c r="I17" s="1">
        <f t="shared" si="0"/>
        <v>0</v>
      </c>
      <c r="J17" s="1">
        <f t="shared" si="1"/>
        <v>0</v>
      </c>
    </row>
    <row r="18" spans="1:10" x14ac:dyDescent="0.25">
      <c r="G18" s="1"/>
      <c r="H18" s="1"/>
      <c r="I18" s="1">
        <f t="shared" si="0"/>
        <v>0</v>
      </c>
      <c r="J18" s="1">
        <f t="shared" si="1"/>
        <v>0</v>
      </c>
    </row>
    <row r="19" spans="1:10" x14ac:dyDescent="0.25">
      <c r="A19" s="64" t="s">
        <v>28</v>
      </c>
      <c r="B19" s="4" t="s">
        <v>29</v>
      </c>
      <c r="C19" s="4" t="s">
        <v>7</v>
      </c>
      <c r="D19" s="4" t="s">
        <v>5</v>
      </c>
      <c r="G19" s="1"/>
      <c r="H19" s="1"/>
      <c r="I19" s="1">
        <f t="shared" si="0"/>
        <v>0</v>
      </c>
      <c r="J19" s="1">
        <f t="shared" si="1"/>
        <v>0</v>
      </c>
    </row>
    <row r="20" spans="1:10" x14ac:dyDescent="0.25">
      <c r="A20" s="65"/>
      <c r="B20" s="1" t="s">
        <v>65</v>
      </c>
      <c r="C20" s="1">
        <v>6</v>
      </c>
      <c r="D20" s="1">
        <f>IF(B20="HL 030",C20*'Cost-Sheet'!H17)+IF(B20="HL 027",C20*'Cost-Sheet'!H18)+IF(B20="HL 056",C20*'Cost-Sheet'!H19)+IF(B20="HL 051",C20*'Cost-Sheet'!H20)</f>
        <v>2700</v>
      </c>
      <c r="G20" s="1"/>
      <c r="H20" s="1"/>
      <c r="I20" s="1">
        <f t="shared" si="0"/>
        <v>0</v>
      </c>
      <c r="J20" s="1">
        <f t="shared" si="1"/>
        <v>0</v>
      </c>
    </row>
    <row r="21" spans="1:10" x14ac:dyDescent="0.25">
      <c r="G21" s="1"/>
      <c r="H21" s="1"/>
      <c r="I21" s="1">
        <f t="shared" si="0"/>
        <v>0</v>
      </c>
      <c r="J21" s="1">
        <f t="shared" si="1"/>
        <v>0</v>
      </c>
    </row>
    <row r="22" spans="1:10" x14ac:dyDescent="0.25">
      <c r="A22" s="64" t="s">
        <v>30</v>
      </c>
      <c r="B22" s="4" t="s">
        <v>31</v>
      </c>
      <c r="C22" s="4" t="s">
        <v>7</v>
      </c>
      <c r="D22" s="4" t="s">
        <v>5</v>
      </c>
      <c r="G22" s="1"/>
      <c r="H22" s="1"/>
      <c r="I22" s="1">
        <f t="shared" si="0"/>
        <v>0</v>
      </c>
      <c r="J22" s="1">
        <f t="shared" si="1"/>
        <v>0</v>
      </c>
    </row>
    <row r="23" spans="1:10" x14ac:dyDescent="0.25">
      <c r="A23" s="65"/>
      <c r="B23" s="1" t="s">
        <v>69</v>
      </c>
      <c r="C23" s="1">
        <v>2</v>
      </c>
      <c r="D23" s="1">
        <f>IF(B23="MS 480",C23*'Cost-Sheet'!H24)+IF(B23="MS 408",C23*'Cost-Sheet'!H25)+IF(B23="BNL 22",C23*'Cost-Sheet'!H26)+IF(B23="PL 130",C23*'Cost-Sheet'!H27)+IF(B23="PL 150",C23*'Cost-Sheet'!H28)</f>
        <v>2200</v>
      </c>
      <c r="G23" s="1"/>
      <c r="H23" s="1"/>
      <c r="I23" s="1">
        <f t="shared" si="0"/>
        <v>0</v>
      </c>
      <c r="J23" s="1">
        <f t="shared" si="1"/>
        <v>0</v>
      </c>
    </row>
    <row r="24" spans="1:10" x14ac:dyDescent="0.25">
      <c r="G24" s="1"/>
      <c r="H24" s="1"/>
      <c r="I24" s="1">
        <f t="shared" si="0"/>
        <v>0</v>
      </c>
      <c r="J24" s="1">
        <f t="shared" si="1"/>
        <v>0</v>
      </c>
    </row>
    <row r="25" spans="1:10" x14ac:dyDescent="0.25">
      <c r="A25" s="64" t="s">
        <v>0</v>
      </c>
      <c r="B25" s="6" t="s">
        <v>7</v>
      </c>
      <c r="C25" s="6" t="s">
        <v>5</v>
      </c>
    </row>
    <row r="26" spans="1:10" x14ac:dyDescent="0.25">
      <c r="A26" s="65"/>
      <c r="B26" s="1">
        <v>0.25</v>
      </c>
      <c r="C26" s="1">
        <f>B26*'Cost-Sheet'!B23</f>
        <v>1250</v>
      </c>
    </row>
    <row r="28" spans="1:10" x14ac:dyDescent="0.25">
      <c r="A28" s="64" t="s">
        <v>33</v>
      </c>
      <c r="B28" s="4" t="s">
        <v>7</v>
      </c>
      <c r="C28" s="4" t="s">
        <v>5</v>
      </c>
    </row>
    <row r="29" spans="1:10" x14ac:dyDescent="0.25">
      <c r="A29" s="65"/>
      <c r="B29" s="1">
        <v>85</v>
      </c>
      <c r="C29" s="1">
        <f>B29*'Cost-Sheet'!B27</f>
        <v>552.5</v>
      </c>
    </row>
    <row r="31" spans="1:10" x14ac:dyDescent="0.25">
      <c r="A31" s="64" t="s">
        <v>9</v>
      </c>
      <c r="B31" s="4" t="s">
        <v>7</v>
      </c>
      <c r="C31" s="4" t="s">
        <v>5</v>
      </c>
    </row>
    <row r="32" spans="1:10" x14ac:dyDescent="0.25">
      <c r="A32" s="65"/>
      <c r="B32" s="1">
        <v>4</v>
      </c>
      <c r="C32" s="1">
        <f>B32*'Cost-Sheet'!B31</f>
        <v>440</v>
      </c>
    </row>
    <row r="34" spans="1:4" x14ac:dyDescent="0.25">
      <c r="A34" s="64" t="s">
        <v>35</v>
      </c>
      <c r="B34" s="4" t="s">
        <v>31</v>
      </c>
      <c r="C34" s="4" t="s">
        <v>7</v>
      </c>
      <c r="D34" s="4" t="s">
        <v>5</v>
      </c>
    </row>
    <row r="35" spans="1:4" x14ac:dyDescent="0.25">
      <c r="A35" s="65"/>
      <c r="B35" s="1" t="s">
        <v>78</v>
      </c>
      <c r="C35" s="1">
        <v>2.5</v>
      </c>
      <c r="D35" s="1">
        <f>IF(B35="25x25",C35*'Cost-Sheet'!H32)+IF(B35="25x40",C35*'Cost-Sheet'!H33)+IF(B35="33x33",C35*'Cost-Sheet'!H34)+IF(B35="40x40",C35*'Cost-Sheet'!H35)+IF(B35="40x60",C35*'Cost-Sheet'!H36)+IF(B35="60x40",C35*'Cost-Sheet'!H37)+IF(B35="60x60",C35*'Cost-Sheet'!H38)+IF(B35="80x80",C35*'Cost-Sheet'!H39)+IF(B35="100x100",C35*'Cost-Sheet'!H40)</f>
        <v>1450</v>
      </c>
    </row>
    <row r="36" spans="1:4" x14ac:dyDescent="0.25">
      <c r="A36" s="7"/>
      <c r="B36" s="7"/>
      <c r="C36" s="7"/>
      <c r="D36" s="7"/>
    </row>
    <row r="37" spans="1:4" x14ac:dyDescent="0.25">
      <c r="A37" s="64" t="s">
        <v>36</v>
      </c>
      <c r="B37" s="6" t="s">
        <v>61</v>
      </c>
      <c r="C37" s="6" t="s">
        <v>5</v>
      </c>
      <c r="D37" s="6" t="s">
        <v>84</v>
      </c>
    </row>
    <row r="38" spans="1:4" x14ac:dyDescent="0.25">
      <c r="A38" s="65"/>
      <c r="B38" s="1">
        <f>SUM(I7:I24)</f>
        <v>11.975000000000001</v>
      </c>
      <c r="C38" s="1">
        <f>B38*'Cost-Sheet'!B39</f>
        <v>26345.000000000004</v>
      </c>
      <c r="D38" s="1">
        <f>SUM(J7:J24)</f>
        <v>2286.75</v>
      </c>
    </row>
    <row r="40" spans="1:4" x14ac:dyDescent="0.25">
      <c r="A40" s="5" t="s">
        <v>37</v>
      </c>
      <c r="B40" s="66">
        <v>15000</v>
      </c>
      <c r="C40" s="67"/>
      <c r="D40" s="68"/>
    </row>
    <row r="42" spans="1:4" x14ac:dyDescent="0.25">
      <c r="A42" s="5" t="s">
        <v>38</v>
      </c>
      <c r="B42" s="66">
        <v>5000</v>
      </c>
      <c r="C42" s="67"/>
      <c r="D42" s="68"/>
    </row>
    <row r="44" spans="1:4" x14ac:dyDescent="0.25">
      <c r="A44" s="5" t="s">
        <v>1</v>
      </c>
      <c r="B44" s="66">
        <v>1500</v>
      </c>
      <c r="C44" s="67"/>
      <c r="D44" s="68"/>
    </row>
    <row r="47" spans="1:4" x14ac:dyDescent="0.25">
      <c r="A47" s="5" t="s">
        <v>40</v>
      </c>
      <c r="B47" s="1">
        <f>B12+B15+B17+D20+D23+C26+C29+C32+D35+B40+B42+B44+C38+D38</f>
        <v>121884.91496682994</v>
      </c>
      <c r="C47" s="1">
        <f>C12+B15+B17+D20+D23+C26+C29+C32+D35+B40+B42+B44+C38+D38</f>
        <v>110748.91496682994</v>
      </c>
      <c r="D47" s="1">
        <f>D12+B15+B17+D20+D23+C26+C29+C32+D35+B40+B42+B44+C38+D38</f>
        <v>99438.914966829936</v>
      </c>
    </row>
    <row r="48" spans="1:4" x14ac:dyDescent="0.25">
      <c r="A48" s="18" t="s">
        <v>10</v>
      </c>
      <c r="B48" s="8">
        <v>0.03</v>
      </c>
      <c r="C48" s="8">
        <v>0.03</v>
      </c>
      <c r="D48" s="8">
        <v>0.03</v>
      </c>
    </row>
    <row r="49" spans="1:4" x14ac:dyDescent="0.25">
      <c r="A49" s="3" t="s">
        <v>60</v>
      </c>
      <c r="B49" s="1">
        <f>B47:B47*(1+B48:B48)</f>
        <v>125541.46241583483</v>
      </c>
      <c r="C49" s="1">
        <f>C47:C47*(1+C48:C48)</f>
        <v>114071.38241583484</v>
      </c>
      <c r="D49" s="1">
        <f>D47:D47*(1+D48:D48)</f>
        <v>102422.08241583484</v>
      </c>
    </row>
    <row r="50" spans="1:4" x14ac:dyDescent="0.25">
      <c r="A50" s="10" t="str">
        <f>HYPERLINK(B9)</f>
        <v>MS Sheet</v>
      </c>
      <c r="B50" s="5" t="s">
        <v>18</v>
      </c>
      <c r="C50" s="5" t="s">
        <v>19</v>
      </c>
      <c r="D50" s="5" t="s">
        <v>20</v>
      </c>
    </row>
  </sheetData>
  <mergeCells count="20">
    <mergeCell ref="B42:D42"/>
    <mergeCell ref="B44:D44"/>
    <mergeCell ref="A25:A26"/>
    <mergeCell ref="A28:A29"/>
    <mergeCell ref="A31:A32"/>
    <mergeCell ref="A34:A35"/>
    <mergeCell ref="A37:A38"/>
    <mergeCell ref="B40:D40"/>
    <mergeCell ref="A22:A23"/>
    <mergeCell ref="B1:D1"/>
    <mergeCell ref="B2:D2"/>
    <mergeCell ref="B3:D3"/>
    <mergeCell ref="B4:D4"/>
    <mergeCell ref="A6:A7"/>
    <mergeCell ref="B8:D8"/>
    <mergeCell ref="B9:D9"/>
    <mergeCell ref="A14:D14"/>
    <mergeCell ref="B15:D15"/>
    <mergeCell ref="B17:D17"/>
    <mergeCell ref="A19:A20"/>
  </mergeCells>
  <dataValidations count="1">
    <dataValidation showDropDown="1" showInputMessage="1" showErrorMessage="1" sqref="F11" xr:uid="{00000000-0002-0000-0000-000000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'Cost-Sheet'!$M$4:$M$6</xm:f>
          </x14:formula1>
          <xm:sqref>B9</xm:sqref>
        </x14:dataValidation>
        <x14:dataValidation type="list" allowBlank="1" showInputMessage="1" showErrorMessage="1" xr:uid="{00000000-0002-0000-0000-000002000000}">
          <x14:formula1>
            <xm:f>'Cost-Sheet'!$M$10:$M$11</xm:f>
          </x14:formula1>
          <xm:sqref>A15</xm:sqref>
        </x14:dataValidation>
        <x14:dataValidation type="list" allowBlank="1" showInputMessage="1" showErrorMessage="1" xr:uid="{00000000-0002-0000-0000-000003000000}">
          <x14:formula1>
            <xm:f>'Cost-Sheet'!$P$4:$P$21</xm:f>
          </x14:formula1>
          <xm:sqref>G7:G24</xm:sqref>
        </x14:dataValidation>
        <x14:dataValidation type="list" allowBlank="1" showInputMessage="1" showErrorMessage="1" xr:uid="{00000000-0002-0000-0000-000004000000}">
          <x14:formula1>
            <xm:f>'Cost-Sheet'!$G$17:$G$20</xm:f>
          </x14:formula1>
          <xm:sqref>B20</xm:sqref>
        </x14:dataValidation>
        <x14:dataValidation type="list" allowBlank="1" showInputMessage="1" showErrorMessage="1" xr:uid="{00000000-0002-0000-0000-000005000000}">
          <x14:formula1>
            <xm:f>'Cost-Sheet'!$G$24:$G$28</xm:f>
          </x14:formula1>
          <xm:sqref>B23</xm:sqref>
        </x14:dataValidation>
        <x14:dataValidation type="list" allowBlank="1" showInputMessage="1" showErrorMessage="1" xr:uid="{00000000-0002-0000-0000-000006000000}">
          <x14:formula1>
            <xm:f>'Cost-Sheet'!$G$32:$G$40</xm:f>
          </x14:formula1>
          <xm:sqref>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Q154"/>
  <sheetViews>
    <sheetView topLeftCell="A52" workbookViewId="0">
      <selection activeCell="D52" sqref="D52"/>
    </sheetView>
  </sheetViews>
  <sheetFormatPr defaultRowHeight="15" x14ac:dyDescent="0.25"/>
  <cols>
    <col min="1" max="1" width="16" bestFit="1" customWidth="1"/>
    <col min="2" max="2" width="11" customWidth="1"/>
    <col min="3" max="3" width="16.140625" bestFit="1" customWidth="1"/>
    <col min="5" max="5" width="10.7109375" bestFit="1" customWidth="1"/>
    <col min="6" max="6" width="10.7109375" customWidth="1"/>
    <col min="7" max="7" width="16" bestFit="1" customWidth="1"/>
    <col min="8" max="8" width="11.5703125" bestFit="1" customWidth="1"/>
    <col min="9" max="10" width="11.85546875" bestFit="1" customWidth="1"/>
    <col min="12" max="12" width="11" bestFit="1" customWidth="1"/>
  </cols>
  <sheetData>
    <row r="4" spans="1:16" x14ac:dyDescent="0.25">
      <c r="M4" s="1" t="s">
        <v>62</v>
      </c>
      <c r="P4" s="1" t="s">
        <v>41</v>
      </c>
    </row>
    <row r="5" spans="1:16" x14ac:dyDescent="0.25">
      <c r="A5" s="5" t="s">
        <v>23</v>
      </c>
      <c r="B5" s="5"/>
      <c r="G5" s="5" t="s">
        <v>23</v>
      </c>
      <c r="H5" s="5"/>
      <c r="M5" s="1" t="s">
        <v>63</v>
      </c>
      <c r="P5" s="1" t="s">
        <v>42</v>
      </c>
    </row>
    <row r="6" spans="1:16" x14ac:dyDescent="0.25">
      <c r="A6" s="64" t="s">
        <v>25</v>
      </c>
      <c r="B6" s="2" t="s">
        <v>24</v>
      </c>
      <c r="C6" s="1" t="s">
        <v>63</v>
      </c>
      <c r="D6" s="1" t="s">
        <v>64</v>
      </c>
      <c r="G6" s="6" t="s">
        <v>26</v>
      </c>
      <c r="H6" s="64" t="s">
        <v>27</v>
      </c>
      <c r="I6" s="64" t="s">
        <v>85</v>
      </c>
      <c r="M6" s="1" t="s">
        <v>64</v>
      </c>
      <c r="P6" s="1" t="s">
        <v>43</v>
      </c>
    </row>
    <row r="7" spans="1:16" x14ac:dyDescent="0.25">
      <c r="A7" s="65"/>
      <c r="B7" s="1">
        <v>290</v>
      </c>
      <c r="C7" s="1">
        <v>900</v>
      </c>
      <c r="D7" s="1">
        <v>295</v>
      </c>
      <c r="G7" s="15" t="s">
        <v>86</v>
      </c>
      <c r="H7" s="65"/>
      <c r="I7" s="65"/>
      <c r="J7" s="17" t="s">
        <v>94</v>
      </c>
      <c r="P7" s="1" t="s">
        <v>44</v>
      </c>
    </row>
    <row r="8" spans="1:16" x14ac:dyDescent="0.25">
      <c r="C8" t="s">
        <v>165</v>
      </c>
      <c r="G8" s="12" t="s">
        <v>87</v>
      </c>
      <c r="H8" s="1">
        <v>325</v>
      </c>
      <c r="I8" s="1">
        <v>437.5</v>
      </c>
      <c r="J8" s="17" t="s">
        <v>95</v>
      </c>
      <c r="P8" s="1" t="s">
        <v>45</v>
      </c>
    </row>
    <row r="9" spans="1:16" x14ac:dyDescent="0.25">
      <c r="C9" t="s">
        <v>99</v>
      </c>
      <c r="G9" s="12" t="s">
        <v>88</v>
      </c>
      <c r="H9" s="1">
        <v>350</v>
      </c>
      <c r="I9" s="1">
        <v>468.75</v>
      </c>
      <c r="J9" s="17" t="s">
        <v>95</v>
      </c>
      <c r="P9" s="1" t="s">
        <v>46</v>
      </c>
    </row>
    <row r="10" spans="1:16" x14ac:dyDescent="0.25">
      <c r="G10" s="12" t="s">
        <v>89</v>
      </c>
      <c r="H10" s="1">
        <v>437.5</v>
      </c>
      <c r="I10" s="1">
        <v>562.5</v>
      </c>
      <c r="J10" s="17" t="s">
        <v>95</v>
      </c>
      <c r="M10" s="1">
        <v>7032</v>
      </c>
      <c r="P10" s="1" t="s">
        <v>47</v>
      </c>
    </row>
    <row r="11" spans="1:16" x14ac:dyDescent="0.25">
      <c r="G11" s="12" t="s">
        <v>90</v>
      </c>
      <c r="H11" s="1">
        <v>500</v>
      </c>
      <c r="I11" s="1">
        <v>625</v>
      </c>
      <c r="J11" s="17" t="s">
        <v>95</v>
      </c>
      <c r="M11" s="1">
        <v>7035</v>
      </c>
      <c r="P11" s="1" t="s">
        <v>48</v>
      </c>
    </row>
    <row r="12" spans="1:16" x14ac:dyDescent="0.25">
      <c r="G12" s="12" t="s">
        <v>91</v>
      </c>
      <c r="H12" s="1">
        <v>562.5</v>
      </c>
      <c r="I12" s="1">
        <v>687.5</v>
      </c>
      <c r="J12" s="17" t="s">
        <v>95</v>
      </c>
      <c r="P12" s="1" t="s">
        <v>49</v>
      </c>
    </row>
    <row r="13" spans="1:16" x14ac:dyDescent="0.25">
      <c r="G13" s="12" t="s">
        <v>92</v>
      </c>
      <c r="H13" s="1">
        <v>625</v>
      </c>
      <c r="I13" s="1">
        <v>750</v>
      </c>
      <c r="J13" s="17" t="s">
        <v>95</v>
      </c>
      <c r="P13" s="1" t="s">
        <v>50</v>
      </c>
    </row>
    <row r="14" spans="1:16" x14ac:dyDescent="0.25">
      <c r="P14" s="1" t="s">
        <v>51</v>
      </c>
    </row>
    <row r="15" spans="1:16" x14ac:dyDescent="0.25">
      <c r="G15" s="4" t="s">
        <v>23</v>
      </c>
      <c r="H15" s="14"/>
      <c r="P15" s="1" t="s">
        <v>52</v>
      </c>
    </row>
    <row r="16" spans="1:16" x14ac:dyDescent="0.25">
      <c r="G16" s="16" t="s">
        <v>28</v>
      </c>
      <c r="H16" s="14" t="s">
        <v>93</v>
      </c>
      <c r="P16" s="1" t="s">
        <v>53</v>
      </c>
    </row>
    <row r="17" spans="1:16" x14ac:dyDescent="0.25">
      <c r="G17" s="1" t="s">
        <v>65</v>
      </c>
      <c r="H17" s="11">
        <v>450</v>
      </c>
      <c r="I17" t="s">
        <v>166</v>
      </c>
      <c r="P17" s="1" t="s">
        <v>54</v>
      </c>
    </row>
    <row r="18" spans="1:16" x14ac:dyDescent="0.25">
      <c r="G18" s="1" t="s">
        <v>66</v>
      </c>
      <c r="H18" s="11">
        <v>300</v>
      </c>
      <c r="I18" t="s">
        <v>166</v>
      </c>
      <c r="P18" s="1" t="s">
        <v>55</v>
      </c>
    </row>
    <row r="19" spans="1:16" x14ac:dyDescent="0.25">
      <c r="G19" s="1" t="s">
        <v>67</v>
      </c>
      <c r="H19" s="11">
        <v>350</v>
      </c>
      <c r="P19" s="1" t="s">
        <v>56</v>
      </c>
    </row>
    <row r="20" spans="1:16" x14ac:dyDescent="0.25">
      <c r="G20" s="1" t="s">
        <v>68</v>
      </c>
      <c r="H20" s="11">
        <v>150</v>
      </c>
      <c r="P20" s="1" t="s">
        <v>57</v>
      </c>
    </row>
    <row r="21" spans="1:16" x14ac:dyDescent="0.25">
      <c r="A21" s="1" t="s">
        <v>23</v>
      </c>
      <c r="B21" s="1"/>
      <c r="P21" s="1" t="s">
        <v>58</v>
      </c>
    </row>
    <row r="22" spans="1:16" x14ac:dyDescent="0.25">
      <c r="A22" s="64" t="s">
        <v>0</v>
      </c>
      <c r="B22" s="2" t="s">
        <v>5</v>
      </c>
      <c r="G22" s="5" t="s">
        <v>23</v>
      </c>
      <c r="H22" s="14"/>
    </row>
    <row r="23" spans="1:16" x14ac:dyDescent="0.25">
      <c r="A23" s="65"/>
      <c r="B23" s="1">
        <v>5000</v>
      </c>
      <c r="G23" s="5" t="s">
        <v>32</v>
      </c>
      <c r="H23" s="14" t="s">
        <v>11</v>
      </c>
    </row>
    <row r="24" spans="1:16" x14ac:dyDescent="0.25">
      <c r="G24" s="1" t="s">
        <v>69</v>
      </c>
      <c r="H24" s="13">
        <v>1100</v>
      </c>
    </row>
    <row r="25" spans="1:16" x14ac:dyDescent="0.25">
      <c r="A25" s="1" t="s">
        <v>23</v>
      </c>
      <c r="B25" s="1"/>
      <c r="G25" s="1" t="s">
        <v>70</v>
      </c>
      <c r="H25" s="13">
        <v>550</v>
      </c>
      <c r="I25" t="s">
        <v>166</v>
      </c>
    </row>
    <row r="26" spans="1:16" x14ac:dyDescent="0.25">
      <c r="A26" s="74" t="s">
        <v>34</v>
      </c>
      <c r="B26" s="2" t="s">
        <v>5</v>
      </c>
      <c r="G26" s="1" t="s">
        <v>71</v>
      </c>
      <c r="H26" s="13">
        <v>90</v>
      </c>
    </row>
    <row r="27" spans="1:16" x14ac:dyDescent="0.25">
      <c r="A27" s="75"/>
      <c r="B27" s="1">
        <v>6.5</v>
      </c>
      <c r="G27" s="9" t="s">
        <v>72</v>
      </c>
      <c r="H27" s="13">
        <v>130</v>
      </c>
    </row>
    <row r="28" spans="1:16" x14ac:dyDescent="0.25">
      <c r="G28" s="9" t="s">
        <v>73</v>
      </c>
      <c r="H28" s="13">
        <v>150</v>
      </c>
    </row>
    <row r="29" spans="1:16" x14ac:dyDescent="0.25">
      <c r="A29" s="1" t="s">
        <v>23</v>
      </c>
      <c r="B29" s="1"/>
    </row>
    <row r="30" spans="1:16" x14ac:dyDescent="0.25">
      <c r="A30" s="64" t="s">
        <v>9</v>
      </c>
      <c r="B30" s="2" t="s">
        <v>5</v>
      </c>
      <c r="G30" s="5" t="s">
        <v>23</v>
      </c>
      <c r="H30" s="5"/>
    </row>
    <row r="31" spans="1:16" x14ac:dyDescent="0.25">
      <c r="A31" s="65"/>
      <c r="B31" s="1">
        <v>110</v>
      </c>
      <c r="G31" s="5" t="s">
        <v>35</v>
      </c>
      <c r="H31" s="5" t="s">
        <v>11</v>
      </c>
    </row>
    <row r="32" spans="1:16" x14ac:dyDescent="0.25">
      <c r="G32" s="1" t="s">
        <v>74</v>
      </c>
      <c r="H32" s="13">
        <v>270</v>
      </c>
    </row>
    <row r="33" spans="1:17" x14ac:dyDescent="0.25">
      <c r="G33" s="1" t="s">
        <v>75</v>
      </c>
      <c r="H33" s="13">
        <v>370</v>
      </c>
    </row>
    <row r="34" spans="1:17" x14ac:dyDescent="0.25">
      <c r="G34" s="1" t="s">
        <v>76</v>
      </c>
      <c r="H34" s="13">
        <v>400</v>
      </c>
    </row>
    <row r="35" spans="1:17" x14ac:dyDescent="0.25">
      <c r="G35" s="1" t="s">
        <v>77</v>
      </c>
      <c r="H35" s="13">
        <v>530</v>
      </c>
    </row>
    <row r="36" spans="1:17" x14ac:dyDescent="0.25">
      <c r="G36" s="1" t="s">
        <v>78</v>
      </c>
      <c r="H36" s="13">
        <v>580</v>
      </c>
    </row>
    <row r="37" spans="1:17" x14ac:dyDescent="0.25">
      <c r="A37" s="1" t="s">
        <v>23</v>
      </c>
      <c r="B37" s="1"/>
      <c r="G37" s="1" t="s">
        <v>79</v>
      </c>
      <c r="H37" s="13">
        <v>650</v>
      </c>
    </row>
    <row r="38" spans="1:17" x14ac:dyDescent="0.25">
      <c r="A38" s="64" t="s">
        <v>59</v>
      </c>
      <c r="B38" s="2" t="s">
        <v>5</v>
      </c>
      <c r="G38" s="1" t="s">
        <v>80</v>
      </c>
      <c r="H38" s="13">
        <v>750</v>
      </c>
    </row>
    <row r="39" spans="1:17" x14ac:dyDescent="0.25">
      <c r="A39" s="65"/>
      <c r="B39" s="1">
        <v>2200</v>
      </c>
      <c r="G39" s="1" t="s">
        <v>81</v>
      </c>
      <c r="H39" s="13">
        <v>1000</v>
      </c>
    </row>
    <row r="40" spans="1:17" x14ac:dyDescent="0.25">
      <c r="G40" s="1" t="s">
        <v>82</v>
      </c>
      <c r="H40" s="13">
        <v>2000</v>
      </c>
    </row>
    <row r="43" spans="1:17" x14ac:dyDescent="0.25">
      <c r="J43" s="28"/>
    </row>
    <row r="44" spans="1:17" x14ac:dyDescent="0.25">
      <c r="P44" t="s">
        <v>131</v>
      </c>
      <c r="Q44" t="s">
        <v>132</v>
      </c>
    </row>
    <row r="45" spans="1:17" x14ac:dyDescent="0.25">
      <c r="B45" s="17"/>
      <c r="C45" s="17"/>
      <c r="D45" s="17"/>
      <c r="E45" s="17" t="b">
        <f>IF(AND(OR(D7=100,D7=125,D7=130,D7=150,D7=160,D7=200),A22=7035),'[1]Cost-Sheet'!I8*B7*C7/645.16/144)</f>
        <v>0</v>
      </c>
      <c r="F45" s="17"/>
      <c r="H45" s="17"/>
      <c r="I45" s="17"/>
      <c r="J45" s="17"/>
      <c r="K45" s="17"/>
      <c r="L45" s="17"/>
      <c r="P45" t="s">
        <v>133</v>
      </c>
      <c r="Q45" t="s">
        <v>134</v>
      </c>
    </row>
    <row r="46" spans="1:17" x14ac:dyDescent="0.25">
      <c r="A46" t="s">
        <v>135</v>
      </c>
    </row>
    <row r="47" spans="1:17" x14ac:dyDescent="0.25">
      <c r="A47" s="54" t="s">
        <v>2</v>
      </c>
      <c r="B47" s="54" t="s">
        <v>3</v>
      </c>
      <c r="C47" s="54" t="s">
        <v>4</v>
      </c>
      <c r="D47" s="1"/>
      <c r="E47" s="1"/>
      <c r="F47" s="1"/>
      <c r="G47" s="1"/>
      <c r="H47" s="55" t="s">
        <v>136</v>
      </c>
      <c r="I47" s="1"/>
      <c r="J47" s="58" t="str">
        <f>HYPERLINK('102025-1'!E9)</f>
        <v>YES</v>
      </c>
      <c r="K47" s="1"/>
      <c r="L47" s="1"/>
    </row>
    <row r="48" spans="1:17" x14ac:dyDescent="0.25">
      <c r="A48" s="58" t="str">
        <f>HYPERLINK('102025-1'!B9)</f>
        <v>1800</v>
      </c>
      <c r="B48" s="53" t="str">
        <f>HYPERLINK('102025-1'!C9)</f>
        <v>600</v>
      </c>
      <c r="C48" s="53" t="str">
        <f>HYPERLINK('102025-1'!D9)</f>
        <v>700</v>
      </c>
      <c r="D48" s="1"/>
      <c r="E48" s="1"/>
      <c r="F48" s="1"/>
      <c r="G48" s="1"/>
      <c r="H48" s="55" t="s">
        <v>137</v>
      </c>
      <c r="I48" s="1"/>
      <c r="J48" s="58" t="str">
        <f>HYPERLINK('102025-1'!B8)</f>
        <v>Floor Mount</v>
      </c>
      <c r="K48" s="1"/>
      <c r="L48" s="1"/>
    </row>
    <row r="49" spans="1:13" x14ac:dyDescent="0.25">
      <c r="A49" s="1"/>
      <c r="B49" s="1"/>
      <c r="C49" s="56" t="s">
        <v>2</v>
      </c>
      <c r="D49" s="56" t="s">
        <v>3</v>
      </c>
      <c r="E49" s="56" t="s">
        <v>138</v>
      </c>
      <c r="F49" s="1"/>
      <c r="G49" s="1"/>
      <c r="H49" s="55" t="s">
        <v>164</v>
      </c>
      <c r="I49" s="1"/>
      <c r="J49" s="58" t="str">
        <f>HYPERLINK('102025-1'!D8)</f>
        <v>YES</v>
      </c>
      <c r="K49" s="1"/>
      <c r="L49" s="1"/>
    </row>
    <row r="50" spans="1:13" x14ac:dyDescent="0.25">
      <c r="A50" s="1"/>
      <c r="B50" s="1" t="s">
        <v>139</v>
      </c>
      <c r="C50" s="1">
        <f>A48/1000</f>
        <v>1.8</v>
      </c>
      <c r="D50" s="1">
        <f>B48/1000</f>
        <v>0.6</v>
      </c>
      <c r="E50" s="1">
        <f>2/1000</f>
        <v>2E-3</v>
      </c>
      <c r="F50" s="1">
        <f>IF(J47="YES",C50*D50*E50*2)+IF(J47="NO",C50*D50*E50)</f>
        <v>4.3200000000000001E-3</v>
      </c>
      <c r="G50" s="1">
        <f>IF(J47="YES",C50*D50*E50*2)+IF(J47="NO",C50*D50*E50)</f>
        <v>4.3200000000000001E-3</v>
      </c>
      <c r="H50" s="1"/>
      <c r="I50" s="1"/>
      <c r="J50" s="1"/>
      <c r="K50" s="1"/>
      <c r="L50" s="1"/>
    </row>
    <row r="51" spans="1:13" x14ac:dyDescent="0.25">
      <c r="A51" s="1"/>
      <c r="B51" s="1" t="s">
        <v>140</v>
      </c>
      <c r="C51" s="1">
        <f>A48/1000</f>
        <v>1.8</v>
      </c>
      <c r="D51" s="1">
        <f>B48/1000</f>
        <v>0.6</v>
      </c>
      <c r="E51" s="1">
        <f t="shared" ref="E51:E56" si="0">2/1000</f>
        <v>2E-3</v>
      </c>
      <c r="F51" s="1"/>
      <c r="G51" s="1">
        <f t="shared" ref="G51:G56" si="1">C51*D51*E51</f>
        <v>2.16E-3</v>
      </c>
      <c r="H51" s="1"/>
      <c r="I51" s="1"/>
      <c r="J51" s="1"/>
      <c r="K51" s="1"/>
      <c r="L51" s="1"/>
    </row>
    <row r="52" spans="1:13" x14ac:dyDescent="0.25">
      <c r="A52" s="1"/>
      <c r="B52" s="1" t="s">
        <v>141</v>
      </c>
      <c r="C52" s="1">
        <f>A48/1000</f>
        <v>1.8</v>
      </c>
      <c r="D52" s="1">
        <f>C48/1000</f>
        <v>0.7</v>
      </c>
      <c r="E52" s="1">
        <f t="shared" si="0"/>
        <v>2E-3</v>
      </c>
      <c r="F52" s="1"/>
      <c r="G52" s="1">
        <f t="shared" si="1"/>
        <v>2.5200000000000001E-3</v>
      </c>
      <c r="H52" s="1"/>
      <c r="I52" s="1"/>
      <c r="J52" s="1"/>
      <c r="K52" s="1"/>
      <c r="L52" s="1"/>
    </row>
    <row r="53" spans="1:13" x14ac:dyDescent="0.25">
      <c r="A53" s="1"/>
      <c r="B53" s="1" t="s">
        <v>142</v>
      </c>
      <c r="C53" s="1">
        <f>A48/1000</f>
        <v>1.8</v>
      </c>
      <c r="D53" s="1">
        <f>C48/1000</f>
        <v>0.7</v>
      </c>
      <c r="E53" s="1">
        <f t="shared" si="0"/>
        <v>2E-3</v>
      </c>
      <c r="F53" s="1"/>
      <c r="G53" s="1">
        <f t="shared" si="1"/>
        <v>2.5200000000000001E-3</v>
      </c>
      <c r="H53" s="1"/>
      <c r="I53" s="1"/>
      <c r="J53" s="1"/>
      <c r="K53" s="1"/>
      <c r="L53" s="1"/>
    </row>
    <row r="54" spans="1:13" x14ac:dyDescent="0.25">
      <c r="A54" s="1"/>
      <c r="B54" s="1" t="s">
        <v>143</v>
      </c>
      <c r="C54" s="1">
        <f>B48/1000</f>
        <v>0.6</v>
      </c>
      <c r="D54" s="1">
        <f>C48/1000</f>
        <v>0.7</v>
      </c>
      <c r="E54" s="1">
        <f t="shared" si="0"/>
        <v>2E-3</v>
      </c>
      <c r="F54" s="1"/>
      <c r="G54" s="1">
        <f>IF(J49="YES",C54*D54*E54*3)+IF(J49="NO",C54*D54*E54)</f>
        <v>2.5200000000000001E-3</v>
      </c>
      <c r="H54" s="1"/>
      <c r="I54" s="1"/>
      <c r="J54" s="1"/>
      <c r="K54" s="1"/>
      <c r="L54" s="1"/>
    </row>
    <row r="55" spans="1:13" x14ac:dyDescent="0.25">
      <c r="A55" s="1"/>
      <c r="B55" s="1" t="s">
        <v>144</v>
      </c>
      <c r="C55" s="1">
        <f>B48/1000</f>
        <v>0.6</v>
      </c>
      <c r="D55" s="1">
        <f>C48/1000</f>
        <v>0.7</v>
      </c>
      <c r="E55" s="1">
        <f t="shared" si="0"/>
        <v>2E-3</v>
      </c>
      <c r="F55" s="1"/>
      <c r="G55" s="1">
        <f t="shared" si="1"/>
        <v>8.4000000000000003E-4</v>
      </c>
      <c r="H55" s="1"/>
      <c r="I55" s="1"/>
      <c r="J55" s="1"/>
      <c r="K55" s="1"/>
      <c r="L55" s="1"/>
    </row>
    <row r="56" spans="1:13" x14ac:dyDescent="0.25">
      <c r="A56" s="1"/>
      <c r="B56" s="1" t="s">
        <v>145</v>
      </c>
      <c r="C56" s="1">
        <f>A48/1000</f>
        <v>1.8</v>
      </c>
      <c r="D56" s="1">
        <f>B48/1000</f>
        <v>0.6</v>
      </c>
      <c r="E56" s="1">
        <f t="shared" si="0"/>
        <v>2E-3</v>
      </c>
      <c r="F56" s="1"/>
      <c r="G56" s="1">
        <f t="shared" si="1"/>
        <v>2.16E-3</v>
      </c>
      <c r="H56" s="57" t="s">
        <v>146</v>
      </c>
      <c r="I56" s="1"/>
      <c r="J56" s="1" t="s">
        <v>147</v>
      </c>
      <c r="K56" s="1"/>
      <c r="L56" s="1" t="s">
        <v>148</v>
      </c>
    </row>
    <row r="57" spans="1:13" x14ac:dyDescent="0.25">
      <c r="A57" s="1"/>
      <c r="B57" s="1"/>
      <c r="C57" s="1"/>
      <c r="D57" s="1"/>
      <c r="E57" s="1"/>
      <c r="F57" s="1"/>
      <c r="G57" s="1">
        <f>SUM(G50:G56)</f>
        <v>1.704E-2</v>
      </c>
      <c r="H57" s="1">
        <v>7860</v>
      </c>
      <c r="I57" s="1"/>
      <c r="J57" s="1">
        <f>G57*H57</f>
        <v>133.93440000000001</v>
      </c>
      <c r="K57" s="1"/>
      <c r="L57" s="1">
        <f>J57/48</f>
        <v>2.7903000000000002</v>
      </c>
      <c r="M57">
        <f>IF(AND('102025-1'!B8="Floor Mount",'102025-1'!B9&lt;=2000,'102025-1'!C9&lt;=750),L57*1.7)+IF('102025-1'!B8="Wall Mount",L57*1.25)+IF(AND('102025-1'!B8="Floor Mount",'102025-1'!B9&gt;=2100,'102025-1'!C9&lt;750),L57*1.85)+IF(AND('102025-1'!B8="Floor Mount",OR('102025-1'!B9&gt;=2100,'102025-1'!B9&lt;=2000),'102025-1'!C9&gt;750),L57*1.5)</f>
        <v>4.7435100000000006</v>
      </c>
    </row>
    <row r="59" spans="1:13" x14ac:dyDescent="0.25">
      <c r="A59" t="s">
        <v>149</v>
      </c>
    </row>
    <row r="60" spans="1:13" x14ac:dyDescent="0.25">
      <c r="A60" s="54" t="s">
        <v>2</v>
      </c>
      <c r="B60" s="54" t="s">
        <v>3</v>
      </c>
      <c r="C60" s="54" t="s">
        <v>4</v>
      </c>
      <c r="D60" s="1"/>
      <c r="E60" s="1"/>
      <c r="F60" s="1"/>
      <c r="G60" s="1"/>
      <c r="H60" s="55" t="s">
        <v>136</v>
      </c>
      <c r="I60" s="1"/>
      <c r="J60" s="58" t="str">
        <f>HYPERLINK('102025-1'!E10)</f>
        <v>YES</v>
      </c>
      <c r="K60" s="1"/>
      <c r="L60" s="1"/>
    </row>
    <row r="61" spans="1:13" x14ac:dyDescent="0.25">
      <c r="A61" s="58" t="str">
        <f>HYPERLINK('102025-1'!B10)</f>
        <v>1800</v>
      </c>
      <c r="B61" s="53" t="str">
        <f>HYPERLINK('102025-1'!C10)</f>
        <v>700</v>
      </c>
      <c r="C61" s="53" t="str">
        <f>HYPERLINK('102025-1'!D10)</f>
        <v>700</v>
      </c>
      <c r="D61" s="1"/>
      <c r="E61" s="1"/>
      <c r="F61" s="1"/>
      <c r="G61" s="1"/>
      <c r="H61" s="55" t="s">
        <v>137</v>
      </c>
      <c r="I61" s="1"/>
      <c r="J61" s="1"/>
      <c r="K61" s="1"/>
      <c r="L61" s="1"/>
    </row>
    <row r="62" spans="1:13" x14ac:dyDescent="0.25">
      <c r="A62" s="1"/>
      <c r="B62" s="1"/>
      <c r="C62" s="56" t="s">
        <v>2</v>
      </c>
      <c r="D62" s="56" t="s">
        <v>3</v>
      </c>
      <c r="E62" s="56" t="s">
        <v>138</v>
      </c>
      <c r="F62" s="1"/>
      <c r="G62" s="1"/>
      <c r="H62" s="1"/>
      <c r="I62" s="1"/>
      <c r="J62" s="1"/>
      <c r="K62" s="1"/>
      <c r="L62" s="1"/>
    </row>
    <row r="63" spans="1:13" x14ac:dyDescent="0.25">
      <c r="A63" s="1"/>
      <c r="B63" s="1" t="s">
        <v>139</v>
      </c>
      <c r="C63" s="1">
        <f>A61/1000</f>
        <v>1.8</v>
      </c>
      <c r="D63" s="1">
        <f>B61/1000</f>
        <v>0.7</v>
      </c>
      <c r="E63" s="1">
        <f>2/1000</f>
        <v>2E-3</v>
      </c>
      <c r="F63" s="1">
        <f>IF(J60="YES",C63*D63*E63*2)+IF(J60="NO",C63*D63*E63)</f>
        <v>5.0400000000000002E-3</v>
      </c>
      <c r="G63" s="1">
        <f>IF(J60="YES",C63*D63*E63*2)+IF(J60="NO",C63*D63*E63)</f>
        <v>5.0400000000000002E-3</v>
      </c>
      <c r="H63" s="1"/>
      <c r="I63" s="1"/>
      <c r="J63" s="1"/>
      <c r="K63" s="1"/>
      <c r="L63" s="1"/>
    </row>
    <row r="64" spans="1:13" x14ac:dyDescent="0.25">
      <c r="A64" s="1"/>
      <c r="B64" s="1" t="s">
        <v>140</v>
      </c>
      <c r="C64" s="1">
        <f>A61/1000</f>
        <v>1.8</v>
      </c>
      <c r="D64" s="1">
        <f>B61/1000</f>
        <v>0.7</v>
      </c>
      <c r="E64" s="1">
        <f t="shared" ref="E64:E69" si="2">2/1000</f>
        <v>2E-3</v>
      </c>
      <c r="F64" s="1"/>
      <c r="G64" s="1">
        <f t="shared" ref="G64:G69" si="3">C64*D64*E64</f>
        <v>2.5200000000000001E-3</v>
      </c>
      <c r="H64" s="1"/>
      <c r="I64" s="1"/>
      <c r="J64" s="1"/>
      <c r="K64" s="1"/>
      <c r="L64" s="1"/>
    </row>
    <row r="65" spans="1:13" x14ac:dyDescent="0.25">
      <c r="A65" s="1"/>
      <c r="B65" s="1" t="s">
        <v>141</v>
      </c>
      <c r="C65" s="1">
        <f>A61/1000</f>
        <v>1.8</v>
      </c>
      <c r="D65" s="1">
        <f>C61/1000</f>
        <v>0.7</v>
      </c>
      <c r="E65" s="1">
        <f t="shared" si="2"/>
        <v>2E-3</v>
      </c>
      <c r="F65" s="1"/>
      <c r="G65" s="1">
        <f t="shared" si="3"/>
        <v>2.5200000000000001E-3</v>
      </c>
      <c r="H65" s="1"/>
      <c r="I65" s="1"/>
      <c r="J65" s="1"/>
      <c r="K65" s="1"/>
      <c r="L65" s="1"/>
    </row>
    <row r="66" spans="1:13" x14ac:dyDescent="0.25">
      <c r="A66" s="1"/>
      <c r="B66" s="1" t="s">
        <v>142</v>
      </c>
      <c r="C66" s="1">
        <f>A61/1000</f>
        <v>1.8</v>
      </c>
      <c r="D66" s="1">
        <f>C61/1000</f>
        <v>0.7</v>
      </c>
      <c r="E66" s="1">
        <f t="shared" si="2"/>
        <v>2E-3</v>
      </c>
      <c r="F66" s="1"/>
      <c r="G66" s="1">
        <f t="shared" si="3"/>
        <v>2.5200000000000001E-3</v>
      </c>
      <c r="H66" s="1"/>
      <c r="I66" s="1"/>
      <c r="J66" s="1"/>
      <c r="K66" s="1"/>
      <c r="L66" s="1"/>
    </row>
    <row r="67" spans="1:13" x14ac:dyDescent="0.25">
      <c r="A67" s="1"/>
      <c r="B67" s="1" t="s">
        <v>143</v>
      </c>
      <c r="C67" s="1">
        <f>B61/1000</f>
        <v>0.7</v>
      </c>
      <c r="D67" s="1">
        <f>C61/1000</f>
        <v>0.7</v>
      </c>
      <c r="E67" s="1">
        <f t="shared" si="2"/>
        <v>2E-3</v>
      </c>
      <c r="F67" s="1"/>
      <c r="G67" s="1">
        <f t="shared" si="3"/>
        <v>9.7999999999999997E-4</v>
      </c>
      <c r="H67" s="1"/>
      <c r="I67" s="1"/>
      <c r="J67" s="1"/>
      <c r="K67" s="1"/>
      <c r="L67" s="1"/>
    </row>
    <row r="68" spans="1:13" x14ac:dyDescent="0.25">
      <c r="A68" s="1"/>
      <c r="B68" s="1" t="s">
        <v>144</v>
      </c>
      <c r="C68" s="1">
        <f>B61/1000</f>
        <v>0.7</v>
      </c>
      <c r="D68" s="1">
        <f>C61/1000</f>
        <v>0.7</v>
      </c>
      <c r="E68" s="1">
        <f t="shared" si="2"/>
        <v>2E-3</v>
      </c>
      <c r="F68" s="1"/>
      <c r="G68" s="1">
        <f t="shared" si="3"/>
        <v>9.7999999999999997E-4</v>
      </c>
      <c r="H68" s="1"/>
      <c r="I68" s="1"/>
      <c r="J68" s="1"/>
      <c r="K68" s="1"/>
      <c r="L68" s="1"/>
    </row>
    <row r="69" spans="1:13" x14ac:dyDescent="0.25">
      <c r="A69" s="1"/>
      <c r="B69" s="1" t="s">
        <v>145</v>
      </c>
      <c r="C69" s="1">
        <f>A61/1000</f>
        <v>1.8</v>
      </c>
      <c r="D69" s="1">
        <f>B61/1000</f>
        <v>0.7</v>
      </c>
      <c r="E69" s="1">
        <f t="shared" si="2"/>
        <v>2E-3</v>
      </c>
      <c r="F69" s="1"/>
      <c r="G69" s="1">
        <f t="shared" si="3"/>
        <v>2.5200000000000001E-3</v>
      </c>
      <c r="H69" s="57" t="s">
        <v>146</v>
      </c>
      <c r="I69" s="1"/>
      <c r="J69" s="1" t="s">
        <v>147</v>
      </c>
      <c r="K69" s="1"/>
      <c r="L69" s="1" t="s">
        <v>148</v>
      </c>
    </row>
    <row r="70" spans="1:13" x14ac:dyDescent="0.25">
      <c r="A70" s="1"/>
      <c r="B70" s="1"/>
      <c r="C70" s="1"/>
      <c r="D70" s="1"/>
      <c r="E70" s="1"/>
      <c r="F70" s="1"/>
      <c r="G70" s="1">
        <f>SUM(G63:G69)</f>
        <v>1.7080000000000001E-2</v>
      </c>
      <c r="H70" s="1">
        <v>7860</v>
      </c>
      <c r="I70" s="1"/>
      <c r="J70" s="1">
        <f>G70*H70</f>
        <v>134.24880000000002</v>
      </c>
      <c r="K70" s="1"/>
      <c r="L70" s="1">
        <f>J70/48</f>
        <v>2.7968500000000005</v>
      </c>
      <c r="M70">
        <f>IF(AND('102025-1'!B8="Floor Mount",'102025-1'!B7&lt;=2000,'102025-1'!C10&lt;=750),L70*1.3)+IF('102025-1'!B8="Wall Mount",L70*1.25)+IF(AND('102025-1'!B8="Floor Mount",'102025-1'!B7&gt;=2100,'102025-1'!C10&lt;=750),L70*1.1)+IF(AND('102025-1'!B8="Floor Mount",OR('102025-1'!B10&gt;=2100,'102025-1'!B10&lt;=2000),'102025-1'!C10&gt;750),L70*1)</f>
        <v>3.6359050000000006</v>
      </c>
    </row>
    <row r="72" spans="1:13" x14ac:dyDescent="0.25">
      <c r="A72" t="s">
        <v>150</v>
      </c>
    </row>
    <row r="73" spans="1:13" x14ac:dyDescent="0.25">
      <c r="A73" s="54" t="s">
        <v>2</v>
      </c>
      <c r="B73" s="54" t="s">
        <v>3</v>
      </c>
      <c r="C73" s="54" t="s">
        <v>4</v>
      </c>
      <c r="D73" s="1"/>
      <c r="E73" s="1"/>
      <c r="F73" s="1"/>
      <c r="G73" s="1"/>
      <c r="H73" s="55" t="s">
        <v>136</v>
      </c>
      <c r="I73" s="1"/>
      <c r="J73" s="58" t="str">
        <f>HYPERLINK('102025-1'!E11)</f>
        <v>NO</v>
      </c>
      <c r="K73" s="1"/>
      <c r="L73" s="1"/>
    </row>
    <row r="74" spans="1:13" x14ac:dyDescent="0.25">
      <c r="A74" s="58" t="str">
        <f>HYPERLINK('102025-1'!B11)</f>
        <v>0</v>
      </c>
      <c r="B74" s="53" t="str">
        <f>HYPERLINK('102025-1'!C11)</f>
        <v>0</v>
      </c>
      <c r="C74" s="53" t="str">
        <f>HYPERLINK('102025-1'!D11)</f>
        <v>0</v>
      </c>
      <c r="D74" s="1"/>
      <c r="E74" s="1"/>
      <c r="F74" s="1"/>
      <c r="G74" s="1"/>
      <c r="H74" s="55" t="s">
        <v>137</v>
      </c>
      <c r="I74" s="1"/>
      <c r="J74" s="1"/>
      <c r="K74" s="1"/>
      <c r="L74" s="1"/>
    </row>
    <row r="75" spans="1:13" x14ac:dyDescent="0.25">
      <c r="A75" s="1"/>
      <c r="B75" s="1"/>
      <c r="C75" s="56" t="s">
        <v>2</v>
      </c>
      <c r="D75" s="56" t="s">
        <v>3</v>
      </c>
      <c r="E75" s="56" t="s">
        <v>138</v>
      </c>
      <c r="F75" s="1"/>
      <c r="G75" s="1"/>
      <c r="H75" s="1"/>
      <c r="I75" s="1"/>
      <c r="J75" s="1"/>
      <c r="K75" s="1"/>
      <c r="L75" s="1"/>
    </row>
    <row r="76" spans="1:13" x14ac:dyDescent="0.25">
      <c r="A76" s="1"/>
      <c r="B76" s="1" t="s">
        <v>139</v>
      </c>
      <c r="C76" s="1">
        <f>A74/1000</f>
        <v>0</v>
      </c>
      <c r="D76" s="1">
        <f>B74/1000</f>
        <v>0</v>
      </c>
      <c r="E76" s="1">
        <f>2/1000</f>
        <v>2E-3</v>
      </c>
      <c r="F76" s="1">
        <f>IF(J73="YES",C76*D76*E76*2)+IF(J73="NO",C76*D76*E76)</f>
        <v>0</v>
      </c>
      <c r="G76" s="1">
        <f>IF(J73="YES",C76*D76*E76*2)+IF(J73="NO",C76*D76*E76)</f>
        <v>0</v>
      </c>
      <c r="H76" s="1"/>
      <c r="I76" s="1"/>
      <c r="J76" s="1"/>
      <c r="K76" s="1"/>
      <c r="L76" s="1"/>
    </row>
    <row r="77" spans="1:13" x14ac:dyDescent="0.25">
      <c r="A77" s="1"/>
      <c r="B77" s="1" t="s">
        <v>140</v>
      </c>
      <c r="C77" s="1">
        <f>A74/1000</f>
        <v>0</v>
      </c>
      <c r="D77" s="1">
        <f>B74/1000</f>
        <v>0</v>
      </c>
      <c r="E77" s="1">
        <f t="shared" ref="E77:E82" si="4">2/1000</f>
        <v>2E-3</v>
      </c>
      <c r="F77" s="1"/>
      <c r="G77" s="1">
        <f t="shared" ref="G77:G82" si="5">C77*D77*E77</f>
        <v>0</v>
      </c>
      <c r="H77" s="1"/>
      <c r="I77" s="1"/>
      <c r="J77" s="1"/>
      <c r="K77" s="1"/>
      <c r="L77" s="1"/>
    </row>
    <row r="78" spans="1:13" x14ac:dyDescent="0.25">
      <c r="A78" s="1"/>
      <c r="B78" s="1" t="s">
        <v>141</v>
      </c>
      <c r="C78" s="1">
        <f>A74/1000</f>
        <v>0</v>
      </c>
      <c r="D78" s="1">
        <f>C74/1000</f>
        <v>0</v>
      </c>
      <c r="E78" s="1">
        <f t="shared" si="4"/>
        <v>2E-3</v>
      </c>
      <c r="F78" s="1"/>
      <c r="G78" s="1">
        <f t="shared" si="5"/>
        <v>0</v>
      </c>
      <c r="H78" s="1"/>
      <c r="I78" s="1"/>
      <c r="J78" s="1"/>
      <c r="K78" s="1"/>
      <c r="L78" s="1"/>
    </row>
    <row r="79" spans="1:13" x14ac:dyDescent="0.25">
      <c r="A79" s="1"/>
      <c r="B79" s="1" t="s">
        <v>142</v>
      </c>
      <c r="C79" s="1">
        <f>A74/1000</f>
        <v>0</v>
      </c>
      <c r="D79" s="1">
        <f>C74/1000</f>
        <v>0</v>
      </c>
      <c r="E79" s="1">
        <f t="shared" si="4"/>
        <v>2E-3</v>
      </c>
      <c r="F79" s="1"/>
      <c r="G79" s="1">
        <f t="shared" si="5"/>
        <v>0</v>
      </c>
      <c r="H79" s="1"/>
      <c r="I79" s="1"/>
      <c r="J79" s="1"/>
      <c r="K79" s="1"/>
      <c r="L79" s="1"/>
    </row>
    <row r="80" spans="1:13" x14ac:dyDescent="0.25">
      <c r="A80" s="1"/>
      <c r="B80" s="1" t="s">
        <v>143</v>
      </c>
      <c r="C80" s="1">
        <f>B74/1000</f>
        <v>0</v>
      </c>
      <c r="D80" s="1">
        <f>C74/1000</f>
        <v>0</v>
      </c>
      <c r="E80" s="1">
        <f t="shared" si="4"/>
        <v>2E-3</v>
      </c>
      <c r="F80" s="1"/>
      <c r="G80" s="1">
        <f t="shared" si="5"/>
        <v>0</v>
      </c>
      <c r="H80" s="1"/>
      <c r="I80" s="1"/>
      <c r="J80" s="1"/>
      <c r="K80" s="1"/>
      <c r="L80" s="1"/>
    </row>
    <row r="81" spans="1:13" x14ac:dyDescent="0.25">
      <c r="A81" s="1"/>
      <c r="B81" s="1" t="s">
        <v>144</v>
      </c>
      <c r="C81" s="1">
        <f>B74/1000</f>
        <v>0</v>
      </c>
      <c r="D81" s="1">
        <f>C74/1000</f>
        <v>0</v>
      </c>
      <c r="E81" s="1">
        <f t="shared" si="4"/>
        <v>2E-3</v>
      </c>
      <c r="F81" s="1"/>
      <c r="G81" s="1">
        <f t="shared" si="5"/>
        <v>0</v>
      </c>
      <c r="H81" s="1"/>
      <c r="I81" s="1"/>
      <c r="J81" s="1"/>
      <c r="K81" s="1"/>
      <c r="L81" s="1"/>
    </row>
    <row r="82" spans="1:13" x14ac:dyDescent="0.25">
      <c r="A82" s="1"/>
      <c r="B82" s="1" t="s">
        <v>145</v>
      </c>
      <c r="C82" s="1">
        <f>A74/1000</f>
        <v>0</v>
      </c>
      <c r="D82" s="1">
        <f>B74/1000</f>
        <v>0</v>
      </c>
      <c r="E82" s="1">
        <f t="shared" si="4"/>
        <v>2E-3</v>
      </c>
      <c r="F82" s="1"/>
      <c r="G82" s="1">
        <f t="shared" si="5"/>
        <v>0</v>
      </c>
      <c r="H82" s="57" t="s">
        <v>146</v>
      </c>
      <c r="I82" s="1"/>
      <c r="J82" s="1" t="s">
        <v>147</v>
      </c>
      <c r="K82" s="1"/>
      <c r="L82" s="1" t="s">
        <v>148</v>
      </c>
    </row>
    <row r="83" spans="1:13" x14ac:dyDescent="0.25">
      <c r="A83" s="1"/>
      <c r="B83" s="1"/>
      <c r="C83" s="1"/>
      <c r="D83" s="1"/>
      <c r="E83" s="1"/>
      <c r="F83" s="1"/>
      <c r="G83" s="1">
        <f>SUM(G76:G82)</f>
        <v>0</v>
      </c>
      <c r="H83" s="1">
        <v>7860</v>
      </c>
      <c r="I83" s="1"/>
      <c r="J83" s="1">
        <f>G83*H83</f>
        <v>0</v>
      </c>
      <c r="K83" s="1"/>
      <c r="L83" s="1">
        <f>J83/48</f>
        <v>0</v>
      </c>
      <c r="M83">
        <f>IF(AND('102025-1'!B8="Floor Mount",'102025-1'!B7&lt;=2000,'102025-1'!C11&lt;=750),L83*1.3)+IF('102025-1'!B8="Wall Mount",L83*1.25)+IF(AND('102025-1'!B8="Floor Mount",'102025-1'!B7&gt;=2100,'102025-1'!C11&lt;=750),L83*1.1)+IF(AND('102025-1'!B8="Floor Mount",OR('102025-1'!B7&gt;=2100,'102025-1'!B11&lt;=2000),'102025-1'!C11&gt;750),L83*1)</f>
        <v>0</v>
      </c>
    </row>
    <row r="85" spans="1:13" x14ac:dyDescent="0.25">
      <c r="A85" t="s">
        <v>151</v>
      </c>
    </row>
    <row r="86" spans="1:13" x14ac:dyDescent="0.25">
      <c r="A86" s="54" t="s">
        <v>2</v>
      </c>
      <c r="B86" s="54" t="s">
        <v>3</v>
      </c>
      <c r="C86" s="54" t="s">
        <v>4</v>
      </c>
      <c r="D86" s="1"/>
      <c r="E86" s="1"/>
      <c r="F86" s="1"/>
      <c r="G86" s="1"/>
      <c r="H86" s="55" t="s">
        <v>136</v>
      </c>
      <c r="I86" s="1"/>
      <c r="J86" s="58" t="str">
        <f>HYPERLINK('102025-1'!E12)</f>
        <v>NO</v>
      </c>
      <c r="K86" s="1"/>
      <c r="L86" s="1"/>
    </row>
    <row r="87" spans="1:13" x14ac:dyDescent="0.25">
      <c r="A87" s="58" t="str">
        <f>HYPERLINK('102025-1'!B12)</f>
        <v>0</v>
      </c>
      <c r="B87" s="53" t="str">
        <f>HYPERLINK('102025-1'!C12)</f>
        <v>0</v>
      </c>
      <c r="C87" s="53" t="str">
        <f>HYPERLINK('102025-1'!D12)</f>
        <v>0</v>
      </c>
      <c r="D87" s="1"/>
      <c r="E87" s="1"/>
      <c r="F87" s="1"/>
      <c r="G87" s="1"/>
      <c r="H87" s="55" t="s">
        <v>137</v>
      </c>
      <c r="I87" s="1"/>
      <c r="J87" s="1"/>
      <c r="K87" s="1"/>
      <c r="L87" s="1"/>
    </row>
    <row r="88" spans="1:13" x14ac:dyDescent="0.25">
      <c r="A88" s="1"/>
      <c r="B88" s="1"/>
      <c r="C88" s="56" t="s">
        <v>2</v>
      </c>
      <c r="D88" s="56" t="s">
        <v>3</v>
      </c>
      <c r="E88" s="56" t="s">
        <v>138</v>
      </c>
      <c r="F88" s="1"/>
      <c r="G88" s="1"/>
      <c r="H88" s="1"/>
      <c r="I88" s="1"/>
      <c r="J88" s="1"/>
      <c r="K88" s="1"/>
      <c r="L88" s="1"/>
    </row>
    <row r="89" spans="1:13" x14ac:dyDescent="0.25">
      <c r="A89" s="1"/>
      <c r="B89" s="1" t="s">
        <v>139</v>
      </c>
      <c r="C89" s="1">
        <f>A87/1000</f>
        <v>0</v>
      </c>
      <c r="D89" s="1">
        <f>B87/1000</f>
        <v>0</v>
      </c>
      <c r="E89" s="1">
        <f>2/1000</f>
        <v>2E-3</v>
      </c>
      <c r="F89" s="1">
        <f>IF(J86="YES",C89*D89*E89*2)+IF(J86="NO",C89*D89*E89)</f>
        <v>0</v>
      </c>
      <c r="G89" s="1">
        <f>IF(J86="YES",C89*D89*E89*2)+IF(J86="NO",C89*D89*E89)</f>
        <v>0</v>
      </c>
      <c r="H89" s="1"/>
      <c r="I89" s="1"/>
      <c r="J89" s="1"/>
      <c r="K89" s="1"/>
      <c r="L89" s="1"/>
    </row>
    <row r="90" spans="1:13" x14ac:dyDescent="0.25">
      <c r="A90" s="1"/>
      <c r="B90" s="1" t="s">
        <v>140</v>
      </c>
      <c r="C90" s="1">
        <f>A87/1000</f>
        <v>0</v>
      </c>
      <c r="D90" s="1">
        <f>B87/1000</f>
        <v>0</v>
      </c>
      <c r="E90" s="1">
        <f t="shared" ref="E90:E95" si="6">2/1000</f>
        <v>2E-3</v>
      </c>
      <c r="F90" s="1"/>
      <c r="G90" s="1">
        <f t="shared" ref="G90:G95" si="7">C90*D90*E90</f>
        <v>0</v>
      </c>
      <c r="H90" s="1"/>
      <c r="I90" s="1"/>
      <c r="J90" s="1"/>
      <c r="K90" s="1"/>
      <c r="L90" s="1"/>
    </row>
    <row r="91" spans="1:13" x14ac:dyDescent="0.25">
      <c r="A91" s="1"/>
      <c r="B91" s="1" t="s">
        <v>141</v>
      </c>
      <c r="C91" s="1">
        <f>A87/1000</f>
        <v>0</v>
      </c>
      <c r="D91" s="1">
        <f>C87/1000</f>
        <v>0</v>
      </c>
      <c r="E91" s="1">
        <f t="shared" si="6"/>
        <v>2E-3</v>
      </c>
      <c r="F91" s="1"/>
      <c r="G91" s="1">
        <f t="shared" si="7"/>
        <v>0</v>
      </c>
      <c r="H91" s="1"/>
      <c r="I91" s="1"/>
      <c r="J91" s="1"/>
      <c r="K91" s="1"/>
      <c r="L91" s="1"/>
    </row>
    <row r="92" spans="1:13" x14ac:dyDescent="0.25">
      <c r="A92" s="1"/>
      <c r="B92" s="1" t="s">
        <v>142</v>
      </c>
      <c r="C92" s="1">
        <f>A87/1000</f>
        <v>0</v>
      </c>
      <c r="D92" s="1">
        <f>C87/1000</f>
        <v>0</v>
      </c>
      <c r="E92" s="1">
        <f t="shared" si="6"/>
        <v>2E-3</v>
      </c>
      <c r="F92" s="1"/>
      <c r="G92" s="1">
        <f t="shared" si="7"/>
        <v>0</v>
      </c>
      <c r="H92" s="1"/>
      <c r="I92" s="1"/>
      <c r="J92" s="1"/>
      <c r="K92" s="1"/>
      <c r="L92" s="1"/>
    </row>
    <row r="93" spans="1:13" x14ac:dyDescent="0.25">
      <c r="A93" s="1"/>
      <c r="B93" s="1" t="s">
        <v>143</v>
      </c>
      <c r="C93" s="1">
        <f>B87/1000</f>
        <v>0</v>
      </c>
      <c r="D93" s="1">
        <f>C87/1000</f>
        <v>0</v>
      </c>
      <c r="E93" s="1">
        <f t="shared" si="6"/>
        <v>2E-3</v>
      </c>
      <c r="F93" s="1"/>
      <c r="G93" s="1">
        <f t="shared" si="7"/>
        <v>0</v>
      </c>
      <c r="H93" s="1"/>
      <c r="I93" s="1"/>
      <c r="J93" s="1"/>
      <c r="K93" s="1"/>
      <c r="L93" s="1"/>
    </row>
    <row r="94" spans="1:13" x14ac:dyDescent="0.25">
      <c r="A94" s="1"/>
      <c r="B94" s="1" t="s">
        <v>144</v>
      </c>
      <c r="C94" s="1">
        <f>B87/1000</f>
        <v>0</v>
      </c>
      <c r="D94" s="1">
        <f>C87/1000</f>
        <v>0</v>
      </c>
      <c r="E94" s="1">
        <f t="shared" si="6"/>
        <v>2E-3</v>
      </c>
      <c r="F94" s="1"/>
      <c r="G94" s="1">
        <f t="shared" si="7"/>
        <v>0</v>
      </c>
      <c r="H94" s="1"/>
      <c r="I94" s="1"/>
      <c r="J94" s="1"/>
      <c r="K94" s="1"/>
      <c r="L94" s="1"/>
    </row>
    <row r="95" spans="1:13" x14ac:dyDescent="0.25">
      <c r="A95" s="1"/>
      <c r="B95" s="1" t="s">
        <v>145</v>
      </c>
      <c r="C95" s="1">
        <f>A87/1000</f>
        <v>0</v>
      </c>
      <c r="D95" s="1">
        <f>B87/1000</f>
        <v>0</v>
      </c>
      <c r="E95" s="1">
        <f t="shared" si="6"/>
        <v>2E-3</v>
      </c>
      <c r="F95" s="1"/>
      <c r="G95" s="1">
        <f t="shared" si="7"/>
        <v>0</v>
      </c>
      <c r="H95" s="57" t="s">
        <v>146</v>
      </c>
      <c r="I95" s="1"/>
      <c r="J95" s="1" t="s">
        <v>147</v>
      </c>
      <c r="K95" s="1"/>
      <c r="L95" s="1" t="s">
        <v>148</v>
      </c>
    </row>
    <row r="96" spans="1:13" x14ac:dyDescent="0.25">
      <c r="A96" s="1"/>
      <c r="B96" s="1"/>
      <c r="C96" s="1"/>
      <c r="D96" s="1"/>
      <c r="E96" s="1"/>
      <c r="F96" s="1"/>
      <c r="G96" s="1">
        <f>SUM(G89:G95)</f>
        <v>0</v>
      </c>
      <c r="H96" s="1">
        <v>7860</v>
      </c>
      <c r="I96" s="1"/>
      <c r="J96" s="1">
        <f>G96*H96</f>
        <v>0</v>
      </c>
      <c r="K96" s="1"/>
      <c r="L96" s="1">
        <f>J96/48</f>
        <v>0</v>
      </c>
      <c r="M96">
        <f>IF(AND('102025-1'!B8="Floor Mount",'102025-1'!B7&lt;=2000,'102025-1'!C12&lt;=750),L96*1.3)+IF('102025-1'!B8="Wall Mount",L96*1.25)+IF(AND('102025-1'!B8="Floor Mount",'102025-1'!B7&gt;=2100,'102025-1'!C12&lt;=750),L96*1.1)+IF(AND('102025-1'!B8="Floor Mount",OR('102025-1'!B7&gt;=2100,'102025-1'!B12&lt;=2000),'102025-1'!C12&gt;750),L83*1)</f>
        <v>0</v>
      </c>
    </row>
    <row r="98" spans="1:13" x14ac:dyDescent="0.25">
      <c r="A98" t="s">
        <v>152</v>
      </c>
    </row>
    <row r="99" spans="1:13" x14ac:dyDescent="0.25">
      <c r="A99" s="54" t="s">
        <v>2</v>
      </c>
      <c r="B99" s="54" t="s">
        <v>3</v>
      </c>
      <c r="C99" s="54" t="s">
        <v>4</v>
      </c>
      <c r="D99" s="1"/>
      <c r="E99" s="1"/>
      <c r="F99" s="1"/>
      <c r="G99" s="1"/>
      <c r="H99" s="55" t="s">
        <v>136</v>
      </c>
      <c r="I99" s="1"/>
      <c r="J99" s="58" t="str">
        <f>HYPERLINK('102025-1'!E13)</f>
        <v>NO</v>
      </c>
      <c r="K99" s="1"/>
      <c r="L99" s="1"/>
    </row>
    <row r="100" spans="1:13" x14ac:dyDescent="0.25">
      <c r="A100" s="58" t="str">
        <f>HYPERLINK('102025-1'!B13)</f>
        <v>0</v>
      </c>
      <c r="B100" s="53" t="str">
        <f>HYPERLINK('102025-1'!C13)</f>
        <v>0</v>
      </c>
      <c r="C100" s="53" t="str">
        <f>HYPERLINK('102025-1'!D13)</f>
        <v>0</v>
      </c>
      <c r="D100" s="1"/>
      <c r="E100" s="1"/>
      <c r="F100" s="1"/>
      <c r="G100" s="1"/>
      <c r="H100" s="55" t="s">
        <v>137</v>
      </c>
      <c r="I100" s="1"/>
      <c r="J100" s="1"/>
      <c r="K100" s="1"/>
      <c r="L100" s="1"/>
    </row>
    <row r="101" spans="1:13" x14ac:dyDescent="0.25">
      <c r="A101" s="1"/>
      <c r="B101" s="1"/>
      <c r="C101" s="56" t="s">
        <v>2</v>
      </c>
      <c r="D101" s="56" t="s">
        <v>3</v>
      </c>
      <c r="E101" s="56" t="s">
        <v>138</v>
      </c>
      <c r="F101" s="1"/>
      <c r="G101" s="1"/>
      <c r="H101" s="1"/>
      <c r="I101" s="1"/>
      <c r="J101" s="1"/>
      <c r="K101" s="1"/>
      <c r="L101" s="1"/>
    </row>
    <row r="102" spans="1:13" x14ac:dyDescent="0.25">
      <c r="A102" s="1"/>
      <c r="B102" s="1" t="s">
        <v>139</v>
      </c>
      <c r="C102" s="1">
        <f>A100/1000</f>
        <v>0</v>
      </c>
      <c r="D102" s="1">
        <f>B100/1000</f>
        <v>0</v>
      </c>
      <c r="E102" s="1">
        <f>2/1000</f>
        <v>2E-3</v>
      </c>
      <c r="F102" s="1">
        <f>IF(J99="YES",C102*D102*E102*2)+IF(J99="NO",C102*D102*E102)</f>
        <v>0</v>
      </c>
      <c r="G102" s="1">
        <f>IF(J99="YES",C102*D102*E102*2)+IF(J99="NO",C102*D102*E102)</f>
        <v>0</v>
      </c>
      <c r="H102" s="1"/>
      <c r="I102" s="1"/>
      <c r="J102" s="1"/>
      <c r="K102" s="1"/>
      <c r="L102" s="1"/>
    </row>
    <row r="103" spans="1:13" x14ac:dyDescent="0.25">
      <c r="A103" s="1"/>
      <c r="B103" s="1" t="s">
        <v>140</v>
      </c>
      <c r="C103" s="1">
        <f>A100/1000</f>
        <v>0</v>
      </c>
      <c r="D103" s="1">
        <f>B100/1000</f>
        <v>0</v>
      </c>
      <c r="E103" s="1">
        <f t="shared" ref="E103:E108" si="8">2/1000</f>
        <v>2E-3</v>
      </c>
      <c r="F103" s="1"/>
      <c r="G103" s="1">
        <f t="shared" ref="G103:G108" si="9">C103*D103*E103</f>
        <v>0</v>
      </c>
      <c r="H103" s="1"/>
      <c r="I103" s="1"/>
      <c r="J103" s="1"/>
      <c r="K103" s="1"/>
      <c r="L103" s="1"/>
    </row>
    <row r="104" spans="1:13" x14ac:dyDescent="0.25">
      <c r="A104" s="1"/>
      <c r="B104" s="1" t="s">
        <v>141</v>
      </c>
      <c r="C104" s="1">
        <f>A100/1000</f>
        <v>0</v>
      </c>
      <c r="D104" s="1">
        <f>C100/1000</f>
        <v>0</v>
      </c>
      <c r="E104" s="1">
        <f t="shared" si="8"/>
        <v>2E-3</v>
      </c>
      <c r="F104" s="1"/>
      <c r="G104" s="1">
        <f t="shared" si="9"/>
        <v>0</v>
      </c>
      <c r="H104" s="1"/>
      <c r="I104" s="1"/>
      <c r="J104" s="1"/>
      <c r="K104" s="1"/>
      <c r="L104" s="1"/>
    </row>
    <row r="105" spans="1:13" x14ac:dyDescent="0.25">
      <c r="A105" s="1"/>
      <c r="B105" s="1" t="s">
        <v>142</v>
      </c>
      <c r="C105" s="1">
        <f>A100/1000</f>
        <v>0</v>
      </c>
      <c r="D105" s="1">
        <f>C100/1000</f>
        <v>0</v>
      </c>
      <c r="E105" s="1">
        <f t="shared" si="8"/>
        <v>2E-3</v>
      </c>
      <c r="F105" s="1"/>
      <c r="G105" s="1">
        <f t="shared" si="9"/>
        <v>0</v>
      </c>
      <c r="H105" s="1"/>
      <c r="I105" s="1"/>
      <c r="J105" s="1"/>
      <c r="K105" s="1"/>
      <c r="L105" s="1"/>
    </row>
    <row r="106" spans="1:13" x14ac:dyDescent="0.25">
      <c r="A106" s="1"/>
      <c r="B106" s="1" t="s">
        <v>143</v>
      </c>
      <c r="C106" s="1">
        <f>B100/1000</f>
        <v>0</v>
      </c>
      <c r="D106" s="1">
        <f>C100/1000</f>
        <v>0</v>
      </c>
      <c r="E106" s="1">
        <f t="shared" si="8"/>
        <v>2E-3</v>
      </c>
      <c r="F106" s="1"/>
      <c r="G106" s="1">
        <f t="shared" si="9"/>
        <v>0</v>
      </c>
      <c r="H106" s="1"/>
      <c r="I106" s="1"/>
      <c r="J106" s="1"/>
      <c r="K106" s="1"/>
      <c r="L106" s="1"/>
    </row>
    <row r="107" spans="1:13" x14ac:dyDescent="0.25">
      <c r="A107" s="1"/>
      <c r="B107" s="1" t="s">
        <v>144</v>
      </c>
      <c r="C107" s="1">
        <f>B100/1000</f>
        <v>0</v>
      </c>
      <c r="D107" s="1">
        <f>C100/1000</f>
        <v>0</v>
      </c>
      <c r="E107" s="1">
        <f t="shared" si="8"/>
        <v>2E-3</v>
      </c>
      <c r="F107" s="1"/>
      <c r="G107" s="1">
        <f t="shared" si="9"/>
        <v>0</v>
      </c>
      <c r="H107" s="1"/>
      <c r="I107" s="1"/>
      <c r="J107" s="1"/>
      <c r="K107" s="1"/>
      <c r="L107" s="1"/>
    </row>
    <row r="108" spans="1:13" x14ac:dyDescent="0.25">
      <c r="A108" s="1"/>
      <c r="B108" s="1" t="s">
        <v>145</v>
      </c>
      <c r="C108" s="1">
        <f>A100/1000</f>
        <v>0</v>
      </c>
      <c r="D108" s="1">
        <f>B100/1000</f>
        <v>0</v>
      </c>
      <c r="E108" s="1">
        <f t="shared" si="8"/>
        <v>2E-3</v>
      </c>
      <c r="F108" s="1"/>
      <c r="G108" s="1">
        <f t="shared" si="9"/>
        <v>0</v>
      </c>
      <c r="H108" s="57" t="s">
        <v>146</v>
      </c>
      <c r="I108" s="1"/>
      <c r="J108" s="1" t="s">
        <v>147</v>
      </c>
      <c r="K108" s="1"/>
      <c r="L108" s="1" t="s">
        <v>148</v>
      </c>
    </row>
    <row r="109" spans="1:13" x14ac:dyDescent="0.25">
      <c r="A109" s="1"/>
      <c r="B109" s="1"/>
      <c r="C109" s="1"/>
      <c r="D109" s="1"/>
      <c r="E109" s="1"/>
      <c r="F109" s="1"/>
      <c r="G109" s="1">
        <f>SUM(G102:G108)</f>
        <v>0</v>
      </c>
      <c r="H109" s="1">
        <v>7860</v>
      </c>
      <c r="I109" s="1"/>
      <c r="J109" s="1">
        <f>G109*H109</f>
        <v>0</v>
      </c>
      <c r="K109" s="1"/>
      <c r="L109" s="1">
        <f>J109/48</f>
        <v>0</v>
      </c>
      <c r="M109">
        <f>IF(AND('102025-1'!B8="Floor Mount",'102025-1'!B7&lt;=2000,'102025-1'!C13&lt;=750),L109*1.3)+IF('102025-1'!B8="Wall Mount",L109*1.25)+IF(AND('102025-1'!B8="Floor Mount",'102025-1'!B7&gt;=2100,'102025-1'!C13&lt;=750),L109*1.1)+IF(AND('102025-1'!B8="Floor Mount",OR('102025-1'!B7&gt;=2100,'102025-1'!B13&lt;=2000),'102025-1'!C13&gt;750),L83*0.87)</f>
        <v>0</v>
      </c>
    </row>
    <row r="112" spans="1:13" x14ac:dyDescent="0.25">
      <c r="A112" t="s">
        <v>153</v>
      </c>
    </row>
    <row r="113" spans="1:13" x14ac:dyDescent="0.25">
      <c r="A113" s="54" t="s">
        <v>2</v>
      </c>
      <c r="B113" s="54" t="s">
        <v>3</v>
      </c>
      <c r="C113" s="54" t="s">
        <v>4</v>
      </c>
      <c r="D113" s="1"/>
      <c r="E113" s="1"/>
      <c r="F113" s="1"/>
      <c r="G113" s="1"/>
      <c r="H113" s="55" t="s">
        <v>136</v>
      </c>
      <c r="I113" s="1"/>
      <c r="J113" s="58" t="str">
        <f>HYPERLINK('102025-1'!E14)</f>
        <v>NO</v>
      </c>
      <c r="K113" s="1"/>
      <c r="L113" s="1"/>
    </row>
    <row r="114" spans="1:13" x14ac:dyDescent="0.25">
      <c r="A114" s="58" t="str">
        <f>HYPERLINK('102025-1'!B14)</f>
        <v>0</v>
      </c>
      <c r="B114" s="53" t="str">
        <f>HYPERLINK('102025-1'!C14)</f>
        <v>0</v>
      </c>
      <c r="C114" s="53" t="str">
        <f>HYPERLINK('102025-1'!D14)</f>
        <v>0</v>
      </c>
      <c r="D114" s="1"/>
      <c r="E114" s="1"/>
      <c r="F114" s="1"/>
      <c r="G114" s="1"/>
      <c r="H114" s="55" t="s">
        <v>137</v>
      </c>
      <c r="I114" s="1"/>
      <c r="J114" s="1"/>
      <c r="K114" s="1"/>
      <c r="L114" s="1"/>
    </row>
    <row r="115" spans="1:13" x14ac:dyDescent="0.25">
      <c r="A115" s="1"/>
      <c r="B115" s="1"/>
      <c r="C115" s="56" t="s">
        <v>2</v>
      </c>
      <c r="D115" s="56" t="s">
        <v>3</v>
      </c>
      <c r="E115" s="56" t="s">
        <v>138</v>
      </c>
      <c r="F115" s="1"/>
      <c r="G115" s="1"/>
      <c r="H115" s="1"/>
      <c r="I115" s="1"/>
      <c r="J115" s="1"/>
      <c r="K115" s="1"/>
      <c r="L115" s="1"/>
    </row>
    <row r="116" spans="1:13" x14ac:dyDescent="0.25">
      <c r="A116" s="1"/>
      <c r="B116" s="1" t="s">
        <v>139</v>
      </c>
      <c r="C116" s="1">
        <f>A114/1000</f>
        <v>0</v>
      </c>
      <c r="D116" s="1">
        <f>B114/1000</f>
        <v>0</v>
      </c>
      <c r="E116" s="1">
        <f>2/1000</f>
        <v>2E-3</v>
      </c>
      <c r="F116" s="1">
        <f>IF(J113="YES",C116*D116*E116*2)+IF(J113="NO",C116*D116*E116)</f>
        <v>0</v>
      </c>
      <c r="G116" s="1">
        <f>IF(J113="YES",C116*D116*E116*2)+IF(J113="NO",C116*D116*E116)</f>
        <v>0</v>
      </c>
      <c r="H116" s="1"/>
      <c r="I116" s="1"/>
      <c r="J116" s="1"/>
      <c r="K116" s="1"/>
      <c r="L116" s="1"/>
    </row>
    <row r="117" spans="1:13" x14ac:dyDescent="0.25">
      <c r="A117" s="1"/>
      <c r="B117" s="1" t="s">
        <v>140</v>
      </c>
      <c r="C117" s="1">
        <f>A114/1000</f>
        <v>0</v>
      </c>
      <c r="D117" s="1">
        <f>B114/1000</f>
        <v>0</v>
      </c>
      <c r="E117" s="1">
        <f t="shared" ref="E117:E122" si="10">2/1000</f>
        <v>2E-3</v>
      </c>
      <c r="F117" s="1"/>
      <c r="G117" s="1">
        <f t="shared" ref="G117:G122" si="11">C117*D117*E117</f>
        <v>0</v>
      </c>
      <c r="H117" s="1"/>
      <c r="I117" s="1"/>
      <c r="J117" s="1"/>
      <c r="K117" s="1"/>
      <c r="L117" s="1"/>
    </row>
    <row r="118" spans="1:13" x14ac:dyDescent="0.25">
      <c r="A118" s="1"/>
      <c r="B118" s="1" t="s">
        <v>141</v>
      </c>
      <c r="C118" s="1">
        <f>A114/1000</f>
        <v>0</v>
      </c>
      <c r="D118" s="1">
        <f>C114/1000</f>
        <v>0</v>
      </c>
      <c r="E118" s="1">
        <f t="shared" si="10"/>
        <v>2E-3</v>
      </c>
      <c r="F118" s="1"/>
      <c r="G118" s="1">
        <f t="shared" si="11"/>
        <v>0</v>
      </c>
      <c r="H118" s="1"/>
      <c r="I118" s="1"/>
      <c r="J118" s="1"/>
      <c r="K118" s="1"/>
      <c r="L118" s="1"/>
    </row>
    <row r="119" spans="1:13" x14ac:dyDescent="0.25">
      <c r="A119" s="1"/>
      <c r="B119" s="1" t="s">
        <v>142</v>
      </c>
      <c r="C119" s="1">
        <f>A114/1000</f>
        <v>0</v>
      </c>
      <c r="D119" s="1">
        <f>C114/1000</f>
        <v>0</v>
      </c>
      <c r="E119" s="1">
        <f t="shared" si="10"/>
        <v>2E-3</v>
      </c>
      <c r="F119" s="1"/>
      <c r="G119" s="1">
        <f t="shared" si="11"/>
        <v>0</v>
      </c>
      <c r="H119" s="1"/>
      <c r="I119" s="1"/>
      <c r="J119" s="1"/>
      <c r="K119" s="1"/>
      <c r="L119" s="1"/>
    </row>
    <row r="120" spans="1:13" x14ac:dyDescent="0.25">
      <c r="A120" s="1"/>
      <c r="B120" s="1" t="s">
        <v>143</v>
      </c>
      <c r="C120" s="1">
        <f>B114/1000</f>
        <v>0</v>
      </c>
      <c r="D120" s="1">
        <f>C114/1000</f>
        <v>0</v>
      </c>
      <c r="E120" s="1">
        <f t="shared" si="10"/>
        <v>2E-3</v>
      </c>
      <c r="F120" s="1"/>
      <c r="G120" s="1">
        <f t="shared" si="11"/>
        <v>0</v>
      </c>
      <c r="H120" s="1"/>
      <c r="I120" s="1"/>
      <c r="J120" s="1"/>
      <c r="K120" s="1"/>
      <c r="L120" s="1"/>
    </row>
    <row r="121" spans="1:13" x14ac:dyDescent="0.25">
      <c r="A121" s="1"/>
      <c r="B121" s="1" t="s">
        <v>144</v>
      </c>
      <c r="C121" s="1">
        <f>B114/1000</f>
        <v>0</v>
      </c>
      <c r="D121" s="1">
        <f>C114/1000</f>
        <v>0</v>
      </c>
      <c r="E121" s="1">
        <f t="shared" si="10"/>
        <v>2E-3</v>
      </c>
      <c r="F121" s="1"/>
      <c r="G121" s="1">
        <f t="shared" si="11"/>
        <v>0</v>
      </c>
      <c r="H121" s="1"/>
      <c r="I121" s="1"/>
      <c r="J121" s="1"/>
      <c r="K121" s="1"/>
      <c r="L121" s="1"/>
    </row>
    <row r="122" spans="1:13" x14ac:dyDescent="0.25">
      <c r="A122" s="1"/>
      <c r="B122" s="1" t="s">
        <v>145</v>
      </c>
      <c r="C122" s="1">
        <f>A114/1000</f>
        <v>0</v>
      </c>
      <c r="D122" s="1">
        <f>B114/1000</f>
        <v>0</v>
      </c>
      <c r="E122" s="1">
        <f t="shared" si="10"/>
        <v>2E-3</v>
      </c>
      <c r="F122" s="1"/>
      <c r="G122" s="1">
        <f t="shared" si="11"/>
        <v>0</v>
      </c>
      <c r="H122" s="57" t="s">
        <v>146</v>
      </c>
      <c r="I122" s="1"/>
      <c r="J122" s="1" t="s">
        <v>147</v>
      </c>
      <c r="K122" s="1"/>
      <c r="L122" s="1" t="s">
        <v>148</v>
      </c>
    </row>
    <row r="123" spans="1:13" x14ac:dyDescent="0.25">
      <c r="A123" s="1"/>
      <c r="B123" s="1"/>
      <c r="C123" s="1"/>
      <c r="D123" s="1"/>
      <c r="E123" s="1"/>
      <c r="F123" s="1"/>
      <c r="G123" s="1">
        <f>SUM(G116:G122)</f>
        <v>0</v>
      </c>
      <c r="H123" s="1">
        <v>7860</v>
      </c>
      <c r="I123" s="1"/>
      <c r="J123" s="1">
        <f>G123*H123</f>
        <v>0</v>
      </c>
      <c r="K123" s="1"/>
      <c r="L123" s="1">
        <f>J123/48</f>
        <v>0</v>
      </c>
      <c r="M123">
        <f>IF(AND('102025-1'!B8="Floor Mount",'102025-1'!B7&lt;=2000,'102025-1'!C14&lt;=750),L123*1.3)+IF('102025-1'!B8="Wall Mount",L123*1.25)+IF(AND('102025-1'!B8="Floor Mount",'102025-1'!B7&gt;=2100,'102025-1'!C14&lt;=750),L123*1.1)+IF(AND('102025-1'!B8="Floor Mount",OR('102025-1'!B7&gt;=2100,'102025-1'!B14&lt;=2000),'102025-1'!C14&gt;750),L83*0.98)</f>
        <v>0</v>
      </c>
    </row>
    <row r="126" spans="1:13" x14ac:dyDescent="0.25">
      <c r="A126" t="s">
        <v>154</v>
      </c>
    </row>
    <row r="127" spans="1:13" x14ac:dyDescent="0.25">
      <c r="A127" s="54" t="s">
        <v>2</v>
      </c>
      <c r="B127" s="54" t="s">
        <v>3</v>
      </c>
      <c r="C127" s="54" t="s">
        <v>4</v>
      </c>
      <c r="D127" s="1"/>
      <c r="E127" s="1"/>
      <c r="F127" s="1"/>
      <c r="G127" s="1"/>
      <c r="H127" s="55" t="s">
        <v>136</v>
      </c>
      <c r="I127" s="1" t="s">
        <v>133</v>
      </c>
      <c r="J127" s="1"/>
      <c r="K127" s="1"/>
      <c r="L127" s="1"/>
    </row>
    <row r="128" spans="1:13" x14ac:dyDescent="0.25">
      <c r="A128" s="1">
        <v>0</v>
      </c>
      <c r="B128" s="52">
        <v>0</v>
      </c>
      <c r="C128" s="52">
        <v>0</v>
      </c>
      <c r="D128" s="1"/>
      <c r="E128" s="1"/>
      <c r="F128" s="1"/>
      <c r="G128" s="1"/>
      <c r="H128" s="55" t="s">
        <v>137</v>
      </c>
      <c r="I128" s="1" t="s">
        <v>132</v>
      </c>
      <c r="J128" s="1"/>
      <c r="K128" s="1"/>
      <c r="L128" s="1"/>
    </row>
    <row r="129" spans="1:13" x14ac:dyDescent="0.25">
      <c r="A129" s="1"/>
      <c r="B129" s="1"/>
      <c r="C129" s="56" t="s">
        <v>2</v>
      </c>
      <c r="D129" s="56" t="s">
        <v>3</v>
      </c>
      <c r="E129" s="56" t="s">
        <v>138</v>
      </c>
      <c r="F129" s="1"/>
      <c r="G129" s="1"/>
      <c r="H129" s="1"/>
      <c r="I129" s="1"/>
      <c r="J129" s="1"/>
      <c r="K129" s="1"/>
      <c r="L129" s="1"/>
    </row>
    <row r="130" spans="1:13" x14ac:dyDescent="0.25">
      <c r="A130" s="1"/>
      <c r="B130" s="1" t="s">
        <v>139</v>
      </c>
      <c r="C130" s="1">
        <f>A128/1000</f>
        <v>0</v>
      </c>
      <c r="D130" s="1">
        <f>B128/1000</f>
        <v>0</v>
      </c>
      <c r="E130" s="1">
        <f>2/1000</f>
        <v>2E-3</v>
      </c>
      <c r="F130" s="1">
        <f>IF(I127="YES",C130*D130*E130*2)+IF(I127="NO",C130*D130*E130)</f>
        <v>0</v>
      </c>
      <c r="G130" s="1">
        <f>IF(I127="YES",C130*D130*E130*2)+IF(I127="NO",C130*D130*E130)</f>
        <v>0</v>
      </c>
      <c r="H130" s="1"/>
      <c r="I130" s="1"/>
      <c r="J130" s="1"/>
      <c r="K130" s="1"/>
      <c r="L130" s="1"/>
    </row>
    <row r="131" spans="1:13" x14ac:dyDescent="0.25">
      <c r="A131" s="1"/>
      <c r="B131" s="1" t="s">
        <v>140</v>
      </c>
      <c r="C131" s="1">
        <f>A128/1000</f>
        <v>0</v>
      </c>
      <c r="D131" s="1">
        <f>B128/1000</f>
        <v>0</v>
      </c>
      <c r="E131" s="1">
        <f t="shared" ref="E131:E136" si="12">2/1000</f>
        <v>2E-3</v>
      </c>
      <c r="F131" s="1"/>
      <c r="G131" s="1">
        <f t="shared" ref="G131:G136" si="13">C131*D131*E131</f>
        <v>0</v>
      </c>
      <c r="H131" s="1"/>
      <c r="I131" s="1"/>
      <c r="J131" s="1"/>
      <c r="K131" s="1"/>
      <c r="L131" s="1"/>
    </row>
    <row r="132" spans="1:13" x14ac:dyDescent="0.25">
      <c r="A132" s="1"/>
      <c r="B132" s="1" t="s">
        <v>141</v>
      </c>
      <c r="C132" s="1">
        <f>A128/1000</f>
        <v>0</v>
      </c>
      <c r="D132" s="1">
        <f>C128/1000</f>
        <v>0</v>
      </c>
      <c r="E132" s="1">
        <f t="shared" si="12"/>
        <v>2E-3</v>
      </c>
      <c r="F132" s="1"/>
      <c r="G132" s="1">
        <f t="shared" si="13"/>
        <v>0</v>
      </c>
      <c r="H132" s="1"/>
      <c r="I132" s="1"/>
      <c r="J132" s="1"/>
      <c r="K132" s="1"/>
      <c r="L132" s="1"/>
    </row>
    <row r="133" spans="1:13" x14ac:dyDescent="0.25">
      <c r="A133" s="1"/>
      <c r="B133" s="1" t="s">
        <v>142</v>
      </c>
      <c r="C133" s="1">
        <f>A128/1000</f>
        <v>0</v>
      </c>
      <c r="D133" s="1">
        <f>C128/1000</f>
        <v>0</v>
      </c>
      <c r="E133" s="1">
        <f t="shared" si="12"/>
        <v>2E-3</v>
      </c>
      <c r="F133" s="1"/>
      <c r="G133" s="1">
        <f t="shared" si="13"/>
        <v>0</v>
      </c>
      <c r="H133" s="1"/>
      <c r="I133" s="1"/>
      <c r="J133" s="1"/>
      <c r="K133" s="1"/>
      <c r="L133" s="1"/>
    </row>
    <row r="134" spans="1:13" x14ac:dyDescent="0.25">
      <c r="A134" s="1"/>
      <c r="B134" s="1" t="s">
        <v>143</v>
      </c>
      <c r="C134" s="1">
        <f>B128/1000</f>
        <v>0</v>
      </c>
      <c r="D134" s="1">
        <f>C128/1000</f>
        <v>0</v>
      </c>
      <c r="E134" s="1">
        <f t="shared" si="12"/>
        <v>2E-3</v>
      </c>
      <c r="F134" s="1"/>
      <c r="G134" s="1">
        <f t="shared" si="13"/>
        <v>0</v>
      </c>
      <c r="H134" s="1"/>
      <c r="I134" s="1"/>
      <c r="J134" s="1"/>
      <c r="K134" s="1"/>
      <c r="L134" s="1"/>
    </row>
    <row r="135" spans="1:13" x14ac:dyDescent="0.25">
      <c r="A135" s="1"/>
      <c r="B135" s="1" t="s">
        <v>144</v>
      </c>
      <c r="C135" s="1">
        <f>B128/1000</f>
        <v>0</v>
      </c>
      <c r="D135" s="1">
        <f>C128/1000</f>
        <v>0</v>
      </c>
      <c r="E135" s="1">
        <f t="shared" si="12"/>
        <v>2E-3</v>
      </c>
      <c r="F135" s="1"/>
      <c r="G135" s="1">
        <f t="shared" si="13"/>
        <v>0</v>
      </c>
      <c r="H135" s="1"/>
      <c r="I135" s="1"/>
      <c r="J135" s="1"/>
      <c r="K135" s="1"/>
      <c r="L135" s="1"/>
    </row>
    <row r="136" spans="1:13" x14ac:dyDescent="0.25">
      <c r="A136" s="1"/>
      <c r="B136" s="1" t="s">
        <v>145</v>
      </c>
      <c r="C136" s="1">
        <f>A128/1000</f>
        <v>0</v>
      </c>
      <c r="D136" s="1">
        <f>B128/1000</f>
        <v>0</v>
      </c>
      <c r="E136" s="1">
        <f t="shared" si="12"/>
        <v>2E-3</v>
      </c>
      <c r="F136" s="1"/>
      <c r="G136" s="1">
        <f t="shared" si="13"/>
        <v>0</v>
      </c>
      <c r="H136" s="57" t="s">
        <v>146</v>
      </c>
      <c r="I136" s="1"/>
      <c r="J136" s="1" t="s">
        <v>147</v>
      </c>
      <c r="K136" s="1"/>
      <c r="L136" s="1" t="s">
        <v>148</v>
      </c>
    </row>
    <row r="137" spans="1:13" x14ac:dyDescent="0.25">
      <c r="A137" s="1"/>
      <c r="B137" s="1"/>
      <c r="C137" s="1"/>
      <c r="D137" s="1"/>
      <c r="E137" s="1"/>
      <c r="F137" s="1"/>
      <c r="G137" s="1">
        <f>SUM(G130:G136)</f>
        <v>0</v>
      </c>
      <c r="H137" s="1">
        <v>7860</v>
      </c>
      <c r="I137" s="1"/>
      <c r="J137" s="1">
        <f>G137*H137</f>
        <v>0</v>
      </c>
      <c r="K137" s="1"/>
      <c r="L137" s="1">
        <f>J137/48</f>
        <v>0</v>
      </c>
      <c r="M137">
        <f>IF(I128="Floor Mount",L137*1.3)+IF(I128="Wall Mount",L137*1.25)</f>
        <v>0</v>
      </c>
    </row>
    <row r="140" spans="1:13" x14ac:dyDescent="0.25">
      <c r="A140" t="s">
        <v>155</v>
      </c>
    </row>
    <row r="141" spans="1:13" x14ac:dyDescent="0.25">
      <c r="A141" s="54" t="s">
        <v>2</v>
      </c>
      <c r="B141" s="54" t="s">
        <v>3</v>
      </c>
      <c r="C141" s="54" t="s">
        <v>4</v>
      </c>
      <c r="D141" s="1"/>
      <c r="E141" s="1"/>
      <c r="F141" s="1"/>
      <c r="G141" s="1"/>
      <c r="H141" s="55" t="s">
        <v>136</v>
      </c>
      <c r="I141" s="1" t="s">
        <v>133</v>
      </c>
      <c r="J141" s="1"/>
      <c r="K141" s="1"/>
      <c r="L141" s="1"/>
    </row>
    <row r="142" spans="1:13" x14ac:dyDescent="0.25">
      <c r="A142" s="1">
        <v>0</v>
      </c>
      <c r="B142" s="52">
        <v>0</v>
      </c>
      <c r="C142" s="52">
        <v>0</v>
      </c>
      <c r="D142" s="1"/>
      <c r="E142" s="1"/>
      <c r="F142" s="1"/>
      <c r="G142" s="1"/>
      <c r="H142" s="55" t="s">
        <v>137</v>
      </c>
      <c r="I142" s="1" t="s">
        <v>132</v>
      </c>
      <c r="J142" s="1"/>
      <c r="K142" s="1"/>
      <c r="L142" s="1"/>
    </row>
    <row r="143" spans="1:13" x14ac:dyDescent="0.25">
      <c r="A143" s="1"/>
      <c r="B143" s="1"/>
      <c r="C143" s="56" t="s">
        <v>2</v>
      </c>
      <c r="D143" s="56" t="s">
        <v>3</v>
      </c>
      <c r="E143" s="56" t="s">
        <v>138</v>
      </c>
      <c r="F143" s="1"/>
      <c r="G143" s="1"/>
      <c r="H143" s="1"/>
      <c r="I143" s="1"/>
      <c r="J143" s="1"/>
      <c r="K143" s="1"/>
      <c r="L143" s="1"/>
    </row>
    <row r="144" spans="1:13" x14ac:dyDescent="0.25">
      <c r="A144" s="1"/>
      <c r="B144" s="1" t="s">
        <v>139</v>
      </c>
      <c r="C144" s="1">
        <f>A142/1000</f>
        <v>0</v>
      </c>
      <c r="D144" s="1">
        <f>B142/1000</f>
        <v>0</v>
      </c>
      <c r="E144" s="1">
        <f>2/1000</f>
        <v>2E-3</v>
      </c>
      <c r="F144" s="1">
        <f>IF(I141="YES",C144*D144*E144*2)+IF(I141="NO",C144*D144*E144)</f>
        <v>0</v>
      </c>
      <c r="G144" s="1">
        <f>IF(I141="YES",C144*D144*E144*2)+IF(I141="NO",C144*D144*E144)</f>
        <v>0</v>
      </c>
      <c r="H144" s="1"/>
      <c r="I144" s="1"/>
      <c r="J144" s="1"/>
      <c r="K144" s="1"/>
      <c r="L144" s="1"/>
    </row>
    <row r="145" spans="1:13" x14ac:dyDescent="0.25">
      <c r="A145" s="1"/>
      <c r="B145" s="1" t="s">
        <v>140</v>
      </c>
      <c r="C145" s="1">
        <f>A142/1000</f>
        <v>0</v>
      </c>
      <c r="D145" s="1">
        <f>B142/1000</f>
        <v>0</v>
      </c>
      <c r="E145" s="1">
        <f t="shared" ref="E145:E150" si="14">2/1000</f>
        <v>2E-3</v>
      </c>
      <c r="F145" s="1"/>
      <c r="G145" s="1">
        <f t="shared" ref="G145:G150" si="15">C145*D145*E145</f>
        <v>0</v>
      </c>
      <c r="H145" s="1"/>
      <c r="I145" s="1"/>
      <c r="J145" s="1"/>
      <c r="K145" s="1"/>
      <c r="L145" s="1"/>
    </row>
    <row r="146" spans="1:13" x14ac:dyDescent="0.25">
      <c r="A146" s="1"/>
      <c r="B146" s="1" t="s">
        <v>141</v>
      </c>
      <c r="C146" s="1">
        <f>A142/1000</f>
        <v>0</v>
      </c>
      <c r="D146" s="1">
        <f>C142/1000</f>
        <v>0</v>
      </c>
      <c r="E146" s="1">
        <f t="shared" si="14"/>
        <v>2E-3</v>
      </c>
      <c r="F146" s="1"/>
      <c r="G146" s="1">
        <f t="shared" si="15"/>
        <v>0</v>
      </c>
      <c r="H146" s="1"/>
      <c r="I146" s="1"/>
      <c r="J146" s="1"/>
      <c r="K146" s="1"/>
      <c r="L146" s="1"/>
    </row>
    <row r="147" spans="1:13" x14ac:dyDescent="0.25">
      <c r="A147" s="1"/>
      <c r="B147" s="1" t="s">
        <v>142</v>
      </c>
      <c r="C147" s="1">
        <f>A142/1000</f>
        <v>0</v>
      </c>
      <c r="D147" s="1">
        <f>C142/1000</f>
        <v>0</v>
      </c>
      <c r="E147" s="1">
        <f t="shared" si="14"/>
        <v>2E-3</v>
      </c>
      <c r="F147" s="1"/>
      <c r="G147" s="1">
        <f t="shared" si="15"/>
        <v>0</v>
      </c>
      <c r="H147" s="1"/>
      <c r="I147" s="1"/>
      <c r="J147" s="1"/>
      <c r="K147" s="1"/>
      <c r="L147" s="1"/>
    </row>
    <row r="148" spans="1:13" x14ac:dyDescent="0.25">
      <c r="A148" s="1"/>
      <c r="B148" s="1" t="s">
        <v>143</v>
      </c>
      <c r="C148" s="1">
        <f>B142/1000</f>
        <v>0</v>
      </c>
      <c r="D148" s="1">
        <f>C142/1000</f>
        <v>0</v>
      </c>
      <c r="E148" s="1">
        <f t="shared" si="14"/>
        <v>2E-3</v>
      </c>
      <c r="F148" s="1"/>
      <c r="G148" s="1">
        <f t="shared" si="15"/>
        <v>0</v>
      </c>
      <c r="H148" s="1"/>
      <c r="I148" s="1"/>
      <c r="J148" s="1"/>
      <c r="K148" s="1"/>
      <c r="L148" s="1"/>
    </row>
    <row r="149" spans="1:13" x14ac:dyDescent="0.25">
      <c r="A149" s="1"/>
      <c r="B149" s="1" t="s">
        <v>144</v>
      </c>
      <c r="C149" s="1">
        <f>B142/1000</f>
        <v>0</v>
      </c>
      <c r="D149" s="1">
        <f>C142/1000</f>
        <v>0</v>
      </c>
      <c r="E149" s="1">
        <f t="shared" si="14"/>
        <v>2E-3</v>
      </c>
      <c r="F149" s="1"/>
      <c r="G149" s="1">
        <f t="shared" si="15"/>
        <v>0</v>
      </c>
      <c r="H149" s="1"/>
      <c r="I149" s="1"/>
      <c r="J149" s="1"/>
      <c r="K149" s="1"/>
      <c r="L149" s="1"/>
    </row>
    <row r="150" spans="1:13" x14ac:dyDescent="0.25">
      <c r="A150" s="1"/>
      <c r="B150" s="1" t="s">
        <v>145</v>
      </c>
      <c r="C150" s="1">
        <f>A142/1000</f>
        <v>0</v>
      </c>
      <c r="D150" s="1">
        <f>B142/1000</f>
        <v>0</v>
      </c>
      <c r="E150" s="1">
        <f t="shared" si="14"/>
        <v>2E-3</v>
      </c>
      <c r="F150" s="1"/>
      <c r="G150" s="1">
        <f t="shared" si="15"/>
        <v>0</v>
      </c>
      <c r="H150" s="57" t="s">
        <v>146</v>
      </c>
      <c r="I150" s="1"/>
      <c r="J150" s="1" t="s">
        <v>147</v>
      </c>
      <c r="K150" s="1"/>
      <c r="L150" s="1" t="s">
        <v>148</v>
      </c>
    </row>
    <row r="151" spans="1:13" x14ac:dyDescent="0.25">
      <c r="A151" s="1"/>
      <c r="B151" s="1"/>
      <c r="C151" s="1"/>
      <c r="D151" s="1"/>
      <c r="E151" s="1"/>
      <c r="F151" s="1"/>
      <c r="G151" s="1">
        <f>SUM(G144:G150)</f>
        <v>0</v>
      </c>
      <c r="H151" s="1">
        <v>7860</v>
      </c>
      <c r="I151" s="1"/>
      <c r="J151" s="1">
        <f>G151*H151</f>
        <v>0</v>
      </c>
      <c r="K151" s="1"/>
      <c r="L151" s="1">
        <f>J151/48</f>
        <v>0</v>
      </c>
      <c r="M151">
        <f>IF(I142="Floor Mount",L151*1.3)+IF(I142="Wall Mount",L151*1.25)</f>
        <v>0</v>
      </c>
    </row>
    <row r="154" spans="1:13" x14ac:dyDescent="0.25">
      <c r="L154" t="s">
        <v>156</v>
      </c>
      <c r="M154" s="63">
        <f>SUM(M57:M151)</f>
        <v>8.3794150000000016</v>
      </c>
    </row>
  </sheetData>
  <mergeCells count="7">
    <mergeCell ref="H6:H7"/>
    <mergeCell ref="I6:I7"/>
    <mergeCell ref="A6:A7"/>
    <mergeCell ref="A38:A39"/>
    <mergeCell ref="A22:A23"/>
    <mergeCell ref="A26:A27"/>
    <mergeCell ref="A30:A31"/>
  </mergeCells>
  <dataValidations disablePrompts="1" count="3">
    <dataValidation type="list" allowBlank="1" showInputMessage="1" showErrorMessage="1" sqref="I142 I61 I74 I87 I100 I114 I128" xr:uid="{00000000-0002-0000-0100-000000000000}">
      <formula1>$Q$6:$Q$7</formula1>
    </dataValidation>
    <dataValidation type="list" allowBlank="1" showInputMessage="1" showErrorMessage="1" sqref="I47 I60 I73 I86 I99 I113 I127 I141" xr:uid="{00000000-0002-0000-0100-000001000000}">
      <formula1>$P$6:$P$7</formula1>
    </dataValidation>
    <dataValidation type="list" showInputMessage="1" showErrorMessage="1" sqref="I48" xr:uid="{00000000-0002-0000-0100-000002000000}">
      <formula1>$Q$6:$Q$7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"/>
  <sheetViews>
    <sheetView topLeftCell="A13" zoomScaleNormal="100" workbookViewId="0">
      <selection activeCell="B55" sqref="B55"/>
    </sheetView>
  </sheetViews>
  <sheetFormatPr defaultRowHeight="15" x14ac:dyDescent="0.25"/>
  <cols>
    <col min="1" max="1" width="15" bestFit="1" customWidth="1"/>
    <col min="2" max="3" width="12" bestFit="1" customWidth="1"/>
    <col min="4" max="4" width="12.28515625" bestFit="1" customWidth="1"/>
    <col min="5" max="5" width="11.140625" bestFit="1" customWidth="1"/>
    <col min="10" max="10" width="12.28515625" bestFit="1" customWidth="1"/>
  </cols>
  <sheetData>
    <row r="1" spans="1:13" x14ac:dyDescent="0.25">
      <c r="A1" s="5" t="s">
        <v>12</v>
      </c>
      <c r="B1" s="66" t="s">
        <v>167</v>
      </c>
      <c r="C1" s="67"/>
      <c r="D1" s="68"/>
    </row>
    <row r="2" spans="1:13" x14ac:dyDescent="0.25">
      <c r="A2" s="5" t="s">
        <v>13</v>
      </c>
      <c r="B2" s="1" t="s">
        <v>168</v>
      </c>
      <c r="C2" s="31"/>
      <c r="D2" s="32"/>
    </row>
    <row r="3" spans="1:13" x14ac:dyDescent="0.25">
      <c r="A3" s="5" t="s">
        <v>14</v>
      </c>
      <c r="B3" s="1" t="s">
        <v>169</v>
      </c>
    </row>
    <row r="4" spans="1:13" x14ac:dyDescent="0.25">
      <c r="B4" s="69"/>
      <c r="C4" s="69"/>
      <c r="D4" s="69"/>
    </row>
    <row r="6" spans="1:13" x14ac:dyDescent="0.25">
      <c r="A6" s="64" t="s">
        <v>15</v>
      </c>
      <c r="B6" s="4" t="s">
        <v>2</v>
      </c>
      <c r="C6" s="4" t="s">
        <v>3</v>
      </c>
      <c r="D6" s="4" t="s">
        <v>4</v>
      </c>
      <c r="E6" s="79" t="s">
        <v>158</v>
      </c>
      <c r="G6" s="6" t="s">
        <v>36</v>
      </c>
      <c r="H6" s="6" t="s">
        <v>83</v>
      </c>
      <c r="I6" s="6" t="s">
        <v>8</v>
      </c>
      <c r="J6" s="6" t="s">
        <v>96</v>
      </c>
    </row>
    <row r="7" spans="1:13" x14ac:dyDescent="0.25">
      <c r="A7" s="65"/>
      <c r="B7" s="20">
        <v>1800</v>
      </c>
      <c r="C7" s="20">
        <v>1400</v>
      </c>
      <c r="D7" s="20">
        <v>700</v>
      </c>
      <c r="E7" s="79"/>
      <c r="G7" s="1" t="s">
        <v>48</v>
      </c>
      <c r="H7" s="20">
        <v>8</v>
      </c>
      <c r="I7" s="1">
        <f>IF(G7="20x5",H7*0.3)+IF(G7="25x5",H7*0.4)+IF(G7="25x10",H7*0.7)+IF(G7="30x5",H7*0.45)+IF(G7="30x10",H7*0.85)+IF(G7="40x5",H7*0.6)+IF(G7="40x10",H7*1.1)+IF(G7="50x5",H7*0.7)+IF(G7="50x10",H7*1.4)+IF(G7="60x5",H7*0.85)+IF(G7="60x10",H7*1.7)+IF(G7="80x5",H7*1.1)+IF(G7="80x10",H7*2.2)+IF(G7="100x5",H7*1.4)+IF(G7="100x10",H7*2.8)+IF(G7="120x5",H7*1.67)+IF(G7="120x10",H7*3.3)+IF(G7="150x10",H7*4.2)</f>
        <v>5.6</v>
      </c>
      <c r="J7" s="1">
        <f>IF(G7="20x5",H7*43*1.5)+IF(G7="25x5",H7*48*1.5)+IF(G7="25x10",H7*55*1.5)+IF(G7="30x5",H7*60*1.5)+IF(G7="30x10",H7*65*1.5)+IF(G7="40x5",H7*65*1.5)+IF(G7="40x10",H7*75*1.5)+IF(G7="50x5",H7*75*1.5)+IF(G7="50x10",H7*85*1.5)+IF(G7="60x5",H7*85*1.5)+IF(G7="60x10",H7*95*1.5)+IF(G7="80x5",H7*110*1.5)+IF(G7="80x10",H7*115*1.5)+IF(G7="100x5",H7*125*1.5)+IF(G7="100x10",H7*135*1.5)+IF(G7="120x5",H7*145*1.5)+IF(G7="120x10",H7*155*1.5)+IF(G7="150x10",H7*185*1.5)</f>
        <v>900</v>
      </c>
      <c r="M7" s="39"/>
    </row>
    <row r="8" spans="1:13" x14ac:dyDescent="0.25">
      <c r="A8" s="60" t="s">
        <v>137</v>
      </c>
      <c r="B8" s="52" t="s">
        <v>132</v>
      </c>
      <c r="C8" s="62" t="s">
        <v>164</v>
      </c>
      <c r="D8" s="51" t="s">
        <v>131</v>
      </c>
      <c r="E8" s="79"/>
      <c r="G8" s="1" t="s">
        <v>45</v>
      </c>
      <c r="H8" s="20">
        <v>8</v>
      </c>
      <c r="I8" s="1">
        <f t="shared" ref="I8:I24" si="0">IF(G8="20x5",H8*0.3)+IF(G8="25x5",H8*0.4)+IF(G8="25x10",H8*0.7)+IF(G8="30x5",H8*0.45)+IF(G8="30x10",H8*0.85)+IF(G8="40x5",H8*0.6)+IF(G8="40x10",H8*1.1)+IF(G8="50x5",H8*0.7)+IF(G8="50x10",H8*1.4)+IF(G8="60x5",H8*0.85)+IF(G8="60x10",H8*1.7)+IF(G8="80x5",H8*1.1)+IF(G8="80x10",H8*2.2)+IF(G8="100x5",H8*1.4)+IF(G8="100x10",H8*2.8)+IF(G8="120x5",H8*1.67)+IF(G8="120x10",H8*3.3)+IF(G8="150x10",H8*4.2)</f>
        <v>6.8</v>
      </c>
      <c r="J8" s="1">
        <f t="shared" ref="J8:J24" si="1">IF(G8="20x5",H8*43*1.5)+IF(G8="25x5",H8*48*1.5)+IF(G8="25x10",H8*55*1.5)+IF(G8="30x5",H8*60*1.5)+IF(G8="30x10",H8*65*1.5)+IF(G8="40x5",H8*65*1.5)+IF(G8="40x10",H8*75*1.5)+IF(G8="50x5",H8*75*1.5)+IF(G8="50x10",H8*85*1.5)+IF(G8="60x5",H8*85*1.5)+IF(G8="60x10",H8*95*1.5)+IF(G8="80x5",H8*110*1.5)+IF(G8="80x10",H8*115*1.5)+IF(G8="100x5",H8*125*1.5)+IF(G8="100x10",H8*135*1.5)+IF(G8="120x5",H8*145*1.5)+IF(G8="120x10",H8*155*1.5)+IF(G8="150x10",H8*185*1.5)</f>
        <v>780</v>
      </c>
      <c r="L8" s="39"/>
    </row>
    <row r="9" spans="1:13" x14ac:dyDescent="0.25">
      <c r="A9" s="60" t="s">
        <v>157</v>
      </c>
      <c r="B9" s="52">
        <v>1800</v>
      </c>
      <c r="C9" s="52">
        <v>600</v>
      </c>
      <c r="D9" s="52">
        <v>700</v>
      </c>
      <c r="E9" s="62" t="s">
        <v>131</v>
      </c>
      <c r="G9" s="1" t="s">
        <v>42</v>
      </c>
      <c r="H9" s="20">
        <v>5</v>
      </c>
      <c r="I9" s="1">
        <f t="shared" si="0"/>
        <v>2</v>
      </c>
      <c r="J9" s="1">
        <f t="shared" si="1"/>
        <v>360</v>
      </c>
    </row>
    <row r="10" spans="1:13" x14ac:dyDescent="0.25">
      <c r="A10" s="60" t="s">
        <v>159</v>
      </c>
      <c r="B10" s="52">
        <v>1800</v>
      </c>
      <c r="C10" s="52">
        <v>700</v>
      </c>
      <c r="D10" s="52">
        <v>700</v>
      </c>
      <c r="E10" s="62" t="s">
        <v>131</v>
      </c>
      <c r="G10" s="1" t="s">
        <v>42</v>
      </c>
      <c r="H10" s="20">
        <v>15</v>
      </c>
      <c r="I10" s="1">
        <f t="shared" si="0"/>
        <v>6</v>
      </c>
      <c r="J10" s="1">
        <f t="shared" si="1"/>
        <v>1080</v>
      </c>
    </row>
    <row r="11" spans="1:13" x14ac:dyDescent="0.25">
      <c r="A11" s="60" t="s">
        <v>160</v>
      </c>
      <c r="B11" s="52">
        <v>0</v>
      </c>
      <c r="C11" s="52">
        <v>0</v>
      </c>
      <c r="D11" s="52">
        <v>0</v>
      </c>
      <c r="E11" s="62" t="s">
        <v>133</v>
      </c>
      <c r="G11" s="1"/>
      <c r="H11" s="20"/>
      <c r="I11" s="1">
        <f t="shared" si="0"/>
        <v>0</v>
      </c>
      <c r="J11" s="1">
        <f t="shared" si="1"/>
        <v>0</v>
      </c>
    </row>
    <row r="12" spans="1:13" x14ac:dyDescent="0.25">
      <c r="A12" s="60" t="s">
        <v>161</v>
      </c>
      <c r="B12" s="52">
        <v>0</v>
      </c>
      <c r="C12" s="52">
        <v>0</v>
      </c>
      <c r="D12" s="52">
        <v>0</v>
      </c>
      <c r="E12" s="62" t="s">
        <v>133</v>
      </c>
      <c r="G12" s="1"/>
      <c r="H12" s="20"/>
      <c r="I12" s="1">
        <f t="shared" si="0"/>
        <v>0</v>
      </c>
      <c r="J12" s="1">
        <f t="shared" si="1"/>
        <v>0</v>
      </c>
    </row>
    <row r="13" spans="1:13" x14ac:dyDescent="0.25">
      <c r="A13" s="61" t="s">
        <v>162</v>
      </c>
      <c r="B13" s="52">
        <v>0</v>
      </c>
      <c r="C13" s="52">
        <v>0</v>
      </c>
      <c r="D13" s="52">
        <v>0</v>
      </c>
      <c r="E13" s="62" t="s">
        <v>133</v>
      </c>
      <c r="G13" s="1"/>
      <c r="H13" s="1"/>
      <c r="I13" s="1">
        <f t="shared" si="0"/>
        <v>0</v>
      </c>
      <c r="J13" s="1">
        <f t="shared" si="1"/>
        <v>0</v>
      </c>
    </row>
    <row r="14" spans="1:13" x14ac:dyDescent="0.25">
      <c r="A14" s="61" t="s">
        <v>163</v>
      </c>
      <c r="B14" s="52">
        <v>0</v>
      </c>
      <c r="C14" s="52">
        <v>0</v>
      </c>
      <c r="D14" s="52">
        <v>0</v>
      </c>
      <c r="E14" s="62" t="s">
        <v>133</v>
      </c>
      <c r="G14" s="1"/>
      <c r="H14" s="1"/>
      <c r="I14" s="1">
        <f t="shared" si="0"/>
        <v>0</v>
      </c>
      <c r="J14" s="1">
        <f t="shared" si="1"/>
        <v>0</v>
      </c>
    </row>
    <row r="15" spans="1:13" x14ac:dyDescent="0.25">
      <c r="A15" s="59" t="s">
        <v>16</v>
      </c>
      <c r="B15" s="76" t="str">
        <f>HYPERLINK('Cost-Sheet'!M154)</f>
        <v>8.379415</v>
      </c>
      <c r="C15" s="77"/>
      <c r="D15" s="78"/>
      <c r="G15" s="1"/>
      <c r="H15" s="1"/>
      <c r="I15" s="1">
        <f t="shared" si="0"/>
        <v>0</v>
      </c>
      <c r="J15" s="1">
        <f t="shared" si="1"/>
        <v>0</v>
      </c>
    </row>
    <row r="16" spans="1:13" x14ac:dyDescent="0.25">
      <c r="A16" s="5" t="s">
        <v>39</v>
      </c>
      <c r="B16" s="70" t="s">
        <v>62</v>
      </c>
      <c r="C16" s="70"/>
      <c r="D16" s="70"/>
      <c r="G16" s="1"/>
      <c r="H16" s="1"/>
      <c r="I16" s="1">
        <f t="shared" si="0"/>
        <v>0</v>
      </c>
      <c r="J16" s="1">
        <f t="shared" si="1"/>
        <v>0</v>
      </c>
    </row>
    <row r="17" spans="1:10" x14ac:dyDescent="0.25">
      <c r="A17" s="5" t="s">
        <v>17</v>
      </c>
      <c r="B17" s="4" t="s">
        <v>18</v>
      </c>
      <c r="C17" s="4" t="s">
        <v>19</v>
      </c>
      <c r="D17" s="4" t="s">
        <v>20</v>
      </c>
      <c r="G17" s="1"/>
      <c r="H17" s="1"/>
      <c r="I17" s="1">
        <f t="shared" si="0"/>
        <v>0</v>
      </c>
      <c r="J17" s="1">
        <f t="shared" si="1"/>
        <v>0</v>
      </c>
    </row>
    <row r="18" spans="1:10" x14ac:dyDescent="0.25">
      <c r="A18" s="5" t="s">
        <v>21</v>
      </c>
      <c r="B18" s="1">
        <f>B15*48.64</f>
        <v>407.57474559999997</v>
      </c>
      <c r="C18" s="1">
        <f>B15*38.4</f>
        <v>321.76953599999996</v>
      </c>
      <c r="D18" s="1">
        <f>B15*28</f>
        <v>234.62361999999999</v>
      </c>
      <c r="G18" s="1"/>
      <c r="H18" s="1"/>
      <c r="I18" s="1">
        <f t="shared" si="0"/>
        <v>0</v>
      </c>
      <c r="J18" s="1">
        <f t="shared" si="1"/>
        <v>0</v>
      </c>
    </row>
    <row r="19" spans="1:10" x14ac:dyDescent="0.25">
      <c r="A19" s="5" t="s">
        <v>22</v>
      </c>
      <c r="B19" s="1">
        <f>IF(B16="MS Sheet",B18*'Cost-Sheet'!B7)+IF(B16="SS Sheet",B18*'Cost-Sheet'!C7)+IF(B16="GI Sheet",B18*'Cost-Sheet'!D7)</f>
        <v>118196.676224</v>
      </c>
      <c r="C19" s="1">
        <f>IF(B16="MS Sheet",C18*'Cost-Sheet'!B7)+IF(B16="SS Sheet",C18*'Cost-Sheet'!C7)+IF(B16="GI Sheet",C18*'Cost-Sheet'!D7)</f>
        <v>93313.165439999982</v>
      </c>
      <c r="D19" s="1">
        <f>IF(B16="MS Sheet",D18*'Cost-Sheet'!B7)+IF(B16="SS Sheet",D18*'Cost-Sheet'!C7)+IF(B16="GI Sheet",D18*'Cost-Sheet'!D7)</f>
        <v>68040.849799999996</v>
      </c>
      <c r="G19" s="1"/>
      <c r="H19" s="1"/>
      <c r="I19" s="1">
        <f t="shared" si="0"/>
        <v>0</v>
      </c>
      <c r="J19" s="1">
        <f t="shared" si="1"/>
        <v>0</v>
      </c>
    </row>
    <row r="20" spans="1:10" x14ac:dyDescent="0.25">
      <c r="G20" s="1"/>
      <c r="H20" s="1"/>
      <c r="I20" s="1">
        <f t="shared" si="0"/>
        <v>0</v>
      </c>
      <c r="J20" s="1">
        <f t="shared" si="1"/>
        <v>0</v>
      </c>
    </row>
    <row r="21" spans="1:10" x14ac:dyDescent="0.25">
      <c r="A21" s="71" t="s">
        <v>26</v>
      </c>
      <c r="B21" s="72"/>
      <c r="C21" s="72"/>
      <c r="D21" s="73"/>
      <c r="G21" s="1"/>
      <c r="H21" s="1"/>
      <c r="I21" s="1">
        <f t="shared" si="0"/>
        <v>0</v>
      </c>
      <c r="J21" s="1">
        <f t="shared" si="1"/>
        <v>0</v>
      </c>
    </row>
    <row r="22" spans="1:10" x14ac:dyDescent="0.25">
      <c r="A22" s="20">
        <v>7035</v>
      </c>
      <c r="B22" s="30">
        <f>IF(AND(OR(D7=100,D7=125,D7=130,D7=150,D7=160,D7=200),A22=7035),'Cost-Sheet'!I8*B7*C7/645.16/144)+IF(AND(OR(D7=250,D7=300),A22=7035),'Cost-Sheet'!I9*B7*C7/645.16/144)+IF(AND(OR(D7=350,D7=380,D7=400,D7=450),A22=7035),'Cost-Sheet'!I10*B7*C7/645.16/144)+IF(AND(OR(D7=500,D7=600),A22=7035),'Cost-Sheet'!I11*B7*C7/645.16/144)+IF(AND(OR(D7=700,D7=750,D7=800),A22=7035),'Cost-Sheet'!I12*B7*C7/645.16/144)+IF(AND(OR(D7=900,D7=1000,D7=1100,D7=1200),A22=7035),'Cost-Sheet'!I13*B7*C7/645.16/144)+IF(AND(OR(D7=100,D7=125,D7=130,D7=150,D7=160,D7=200),A22=7032),'Cost-Sheet'!H8*B7*C7/645.16/144)+IF(AND(OR(D7=250,D7=300),A22=7032),'Cost-Sheet'!H9*B7*C7/645.16/144)+IF(AND(OR(D7=350,D7=380,D7=400,D7=450),A22=7032),'Cost-Sheet'!H10*B7*C7/645.16/144)+IF(AND(OR(D7=500,D7=600),A22=7032),'Cost-Sheet'!H11*B7*C7/645.16/144)+IF(AND(OR(D7=700,D7=750,D7=800),A22=7032),'Cost-Sheet'!H12*B7*C7/645.16/144)+IF(AND(OR(D7=900,D7=1000,D7=1100,D7=1200),A22=7032),'Cost-Sheet'!H13*B7*C7/645.16/144)</f>
        <v>18648.474796949595</v>
      </c>
      <c r="C22" s="31"/>
      <c r="D22" s="32"/>
      <c r="G22" s="1"/>
      <c r="H22" s="1"/>
      <c r="I22" s="1">
        <f t="shared" si="0"/>
        <v>0</v>
      </c>
      <c r="J22" s="1">
        <f t="shared" si="1"/>
        <v>0</v>
      </c>
    </row>
    <row r="23" spans="1:10" x14ac:dyDescent="0.25">
      <c r="G23" s="1"/>
      <c r="H23" s="1"/>
      <c r="I23" s="1">
        <f t="shared" si="0"/>
        <v>0</v>
      </c>
      <c r="J23" s="1">
        <f t="shared" si="1"/>
        <v>0</v>
      </c>
    </row>
    <row r="24" spans="1:10" x14ac:dyDescent="0.25">
      <c r="A24" s="4" t="s">
        <v>98</v>
      </c>
      <c r="B24" s="30">
        <v>4000</v>
      </c>
      <c r="C24" s="31"/>
      <c r="D24" s="32"/>
      <c r="G24" s="1"/>
      <c r="H24" s="1"/>
      <c r="I24" s="1">
        <f t="shared" si="0"/>
        <v>0</v>
      </c>
      <c r="J24" s="1">
        <f t="shared" si="1"/>
        <v>0</v>
      </c>
    </row>
    <row r="26" spans="1:10" x14ac:dyDescent="0.25">
      <c r="A26" s="64" t="s">
        <v>28</v>
      </c>
      <c r="B26" s="4" t="s">
        <v>29</v>
      </c>
      <c r="C26" s="4" t="s">
        <v>7</v>
      </c>
      <c r="D26" s="4" t="s">
        <v>5</v>
      </c>
    </row>
    <row r="27" spans="1:10" x14ac:dyDescent="0.25">
      <c r="A27" s="65"/>
      <c r="B27" s="1" t="s">
        <v>65</v>
      </c>
      <c r="C27" s="1">
        <v>2</v>
      </c>
      <c r="D27" s="1">
        <f>IF(B27="HL 030",C27*'Cost-Sheet'!H17)+IF(B27="HL 027",C27*'Cost-Sheet'!H18)+IF(B27="HL 056",C27*'Cost-Sheet'!H19)+IF(B27="HL 051",C27*'Cost-Sheet'!H20)</f>
        <v>900</v>
      </c>
    </row>
    <row r="29" spans="1:10" x14ac:dyDescent="0.25">
      <c r="A29" s="64" t="s">
        <v>30</v>
      </c>
      <c r="B29" s="4" t="s">
        <v>31</v>
      </c>
      <c r="C29" s="4" t="s">
        <v>7</v>
      </c>
      <c r="D29" s="4" t="s">
        <v>5</v>
      </c>
    </row>
    <row r="30" spans="1:10" x14ac:dyDescent="0.25">
      <c r="A30" s="65"/>
      <c r="B30" s="1" t="s">
        <v>70</v>
      </c>
      <c r="C30" s="1">
        <v>2</v>
      </c>
      <c r="D30" s="1">
        <f>IF(B30="MS 480",C30*'Cost-Sheet'!H24)+IF(B30="MS 408",C30*'Cost-Sheet'!H25)+IF(B30="BNL 22",C30*'Cost-Sheet'!H26)+IF(B30="PL 130",C30*'Cost-Sheet'!H27)+IF(B30="PL 150",C30*'Cost-Sheet'!H28)</f>
        <v>1100</v>
      </c>
      <c r="F30">
        <f>IF(B30="MS 408",C30*'Cost-Sheet'!H25)</f>
        <v>1100</v>
      </c>
    </row>
    <row r="32" spans="1:10" x14ac:dyDescent="0.25">
      <c r="A32" s="64" t="s">
        <v>0</v>
      </c>
      <c r="B32" s="6" t="s">
        <v>7</v>
      </c>
      <c r="C32" s="6" t="s">
        <v>5</v>
      </c>
    </row>
    <row r="33" spans="1:5" x14ac:dyDescent="0.25">
      <c r="A33" s="65"/>
      <c r="B33" s="1">
        <v>0.1</v>
      </c>
      <c r="C33" s="1">
        <f>B33*'Cost-Sheet'!B23</f>
        <v>500</v>
      </c>
    </row>
    <row r="35" spans="1:5" x14ac:dyDescent="0.25">
      <c r="A35" s="64" t="s">
        <v>33</v>
      </c>
      <c r="B35" s="4" t="s">
        <v>7</v>
      </c>
      <c r="C35" s="4" t="s">
        <v>5</v>
      </c>
    </row>
    <row r="36" spans="1:5" x14ac:dyDescent="0.25">
      <c r="A36" s="65"/>
      <c r="B36" s="1">
        <v>40</v>
      </c>
      <c r="C36" s="1">
        <f>B36*'Cost-Sheet'!B27</f>
        <v>260</v>
      </c>
    </row>
    <row r="38" spans="1:5" x14ac:dyDescent="0.25">
      <c r="A38" s="64" t="s">
        <v>9</v>
      </c>
      <c r="B38" s="4" t="s">
        <v>7</v>
      </c>
      <c r="C38" s="4" t="s">
        <v>5</v>
      </c>
    </row>
    <row r="39" spans="1:5" x14ac:dyDescent="0.25">
      <c r="A39" s="65"/>
      <c r="B39" s="1">
        <v>4</v>
      </c>
      <c r="C39" s="1">
        <f>B39*'Cost-Sheet'!B31</f>
        <v>440</v>
      </c>
    </row>
    <row r="41" spans="1:5" x14ac:dyDescent="0.25">
      <c r="A41" s="64" t="s">
        <v>35</v>
      </c>
      <c r="B41" s="4" t="s">
        <v>31</v>
      </c>
      <c r="C41" s="4" t="s">
        <v>7</v>
      </c>
      <c r="D41" s="4" t="s">
        <v>5</v>
      </c>
    </row>
    <row r="42" spans="1:5" x14ac:dyDescent="0.25">
      <c r="A42" s="65"/>
      <c r="B42" s="1" t="s">
        <v>78</v>
      </c>
      <c r="C42" s="1">
        <v>2</v>
      </c>
      <c r="D42" s="1">
        <f>IF(B42="25x25",C42*'[1]Cost-Sheet'!H32)+IF(B42="25x40",C42*'[1]Cost-Sheet'!H33)+IF(B42="33x33",C42*'[1]Cost-Sheet'!H34)+IF(B42="40x40",C42*'[1]Cost-Sheet'!H35)+IF(B42="40x60",C42*'[1]Cost-Sheet'!H36)+IF(B42="60x40",C42*'[1]Cost-Sheet'!H37)+IF(B42="60x60",C42*'[1]Cost-Sheet'!H38)+IF(B42="80x80",C42*'[1]Cost-Sheet'!H39)+IF(B42="100x100",C42*'[1]Cost-Sheet'!H40)</f>
        <v>1160</v>
      </c>
    </row>
    <row r="43" spans="1:5" x14ac:dyDescent="0.25">
      <c r="A43" s="7"/>
      <c r="B43" s="7"/>
      <c r="C43" s="7"/>
      <c r="D43" s="7"/>
    </row>
    <row r="44" spans="1:5" x14ac:dyDescent="0.25">
      <c r="A44" s="64" t="s">
        <v>36</v>
      </c>
      <c r="B44" s="6" t="s">
        <v>61</v>
      </c>
      <c r="C44" s="6" t="s">
        <v>5</v>
      </c>
      <c r="D44" s="6" t="s">
        <v>96</v>
      </c>
    </row>
    <row r="45" spans="1:5" x14ac:dyDescent="0.25">
      <c r="A45" s="65"/>
      <c r="B45" s="1">
        <f>SUM(I7:I24)</f>
        <v>20.399999999999999</v>
      </c>
      <c r="C45" s="1">
        <f>B45*'Cost-Sheet'!B39</f>
        <v>44880</v>
      </c>
      <c r="D45" s="1">
        <f>SUM(J7:J24)</f>
        <v>3120</v>
      </c>
      <c r="E45" s="50">
        <f>C45+D45</f>
        <v>48000</v>
      </c>
    </row>
    <row r="47" spans="1:5" x14ac:dyDescent="0.25">
      <c r="A47" s="5" t="s">
        <v>37</v>
      </c>
      <c r="B47" s="30">
        <v>3000</v>
      </c>
      <c r="C47" s="31"/>
      <c r="D47" s="32"/>
    </row>
    <row r="49" spans="1:4" x14ac:dyDescent="0.25">
      <c r="A49" s="5" t="s">
        <v>38</v>
      </c>
      <c r="B49" s="30">
        <v>7000</v>
      </c>
      <c r="C49" s="31"/>
      <c r="D49" s="32"/>
    </row>
    <row r="51" spans="1:4" x14ac:dyDescent="0.25">
      <c r="A51" s="5" t="s">
        <v>1</v>
      </c>
      <c r="B51" s="30">
        <v>5000</v>
      </c>
      <c r="C51" s="31"/>
      <c r="D51" s="32"/>
    </row>
    <row r="54" spans="1:4" x14ac:dyDescent="0.25">
      <c r="A54" s="5" t="s">
        <v>40</v>
      </c>
      <c r="B54" s="1">
        <f>B19+B22+B24+D27+D30+C33+C36+C39+D42+B47+B49+B51+C45+D45</f>
        <v>208205.15102094959</v>
      </c>
      <c r="C54" s="1">
        <f>C19+B22+B24+D27+D30+C33+C36+C39+D42+B47+B49+B51+C45+D45</f>
        <v>183321.64023694958</v>
      </c>
      <c r="D54" s="1">
        <f>D19+B22+B24+D27+D30+C33+C36+C39+D42+B47+B49+B51+C45+D45</f>
        <v>158049.32459694959</v>
      </c>
    </row>
    <row r="55" spans="1:4" x14ac:dyDescent="0.25">
      <c r="A55" s="18" t="s">
        <v>10</v>
      </c>
      <c r="B55" s="8">
        <v>0.05</v>
      </c>
      <c r="C55" s="8">
        <v>0.05</v>
      </c>
      <c r="D55" s="8">
        <v>0.05</v>
      </c>
    </row>
    <row r="56" spans="1:4" x14ac:dyDescent="0.25">
      <c r="A56" s="3" t="s">
        <v>60</v>
      </c>
      <c r="B56" s="1">
        <f>B54:B54*(1+B55:B55)</f>
        <v>218615.40857199708</v>
      </c>
      <c r="C56" s="1">
        <f>C54:C54*(1+C55:C55)</f>
        <v>192487.72224879707</v>
      </c>
      <c r="D56" s="1">
        <f>D54:D54*(1+D55:D55)</f>
        <v>165951.79082679708</v>
      </c>
    </row>
    <row r="57" spans="1:4" x14ac:dyDescent="0.25">
      <c r="A57" s="10" t="str">
        <f>HYPERLINK(B16)</f>
        <v>MS Sheet</v>
      </c>
      <c r="B57" s="5" t="s">
        <v>18</v>
      </c>
      <c r="C57" s="5" t="s">
        <v>19</v>
      </c>
      <c r="D57" s="5" t="s">
        <v>20</v>
      </c>
    </row>
  </sheetData>
  <dataConsolidate/>
  <mergeCells count="14">
    <mergeCell ref="E6:E8"/>
    <mergeCell ref="B16:D16"/>
    <mergeCell ref="A21:D21"/>
    <mergeCell ref="A26:A27"/>
    <mergeCell ref="A29:A30"/>
    <mergeCell ref="A35:A36"/>
    <mergeCell ref="A38:A39"/>
    <mergeCell ref="A41:A42"/>
    <mergeCell ref="A44:A45"/>
    <mergeCell ref="B1:D1"/>
    <mergeCell ref="B4:D4"/>
    <mergeCell ref="A6:A7"/>
    <mergeCell ref="B15:D15"/>
    <mergeCell ref="A32:A33"/>
  </mergeCells>
  <dataValidations count="1">
    <dataValidation showDropDown="1" showInputMessage="1" showErrorMessage="1" sqref="F18 B9" xr:uid="{00000000-0002-0000-0200-000000000000}"/>
  </dataValidations>
  <pageMargins left="0.7" right="0.7" top="0.75" bottom="0.75" header="0.3" footer="0.3"/>
  <pageSetup scale="81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200-000001000000}">
          <x14:formula1>
            <xm:f>'Cost-Sheet'!$G$32:$G$40</xm:f>
          </x14:formula1>
          <xm:sqref>B42</xm:sqref>
        </x14:dataValidation>
        <x14:dataValidation type="list" allowBlank="1" showInputMessage="1" showErrorMessage="1" xr:uid="{00000000-0002-0000-0200-000002000000}">
          <x14:formula1>
            <xm:f>'Cost-Sheet'!$G$24:$G$28</xm:f>
          </x14:formula1>
          <xm:sqref>B30</xm:sqref>
        </x14:dataValidation>
        <x14:dataValidation type="list" allowBlank="1" showInputMessage="1" showErrorMessage="1" xr:uid="{00000000-0002-0000-0200-000003000000}">
          <x14:formula1>
            <xm:f>'Cost-Sheet'!$G$17:$G$20</xm:f>
          </x14:formula1>
          <xm:sqref>B27</xm:sqref>
        </x14:dataValidation>
        <x14:dataValidation type="list" allowBlank="1" showInputMessage="1" showErrorMessage="1" xr:uid="{00000000-0002-0000-0200-000004000000}">
          <x14:formula1>
            <xm:f>'Cost-Sheet'!$M$10:$M$11</xm:f>
          </x14:formula1>
          <xm:sqref>A22</xm:sqref>
        </x14:dataValidation>
        <x14:dataValidation type="list" allowBlank="1" showInputMessage="1" showErrorMessage="1" xr:uid="{00000000-0002-0000-0200-000005000000}">
          <x14:formula1>
            <xm:f>'C:\Users\M. kashif\Desktop\[Working Panel Cost.xlsx]Cost-Sheet'!#REF!</xm:f>
          </x14:formula1>
          <xm:sqref>N2</xm:sqref>
        </x14:dataValidation>
        <x14:dataValidation type="list" allowBlank="1" showInputMessage="1" showErrorMessage="1" xr:uid="{00000000-0002-0000-0200-000006000000}">
          <x14:formula1>
            <xm:f>'Cost-Sheet'!$P$4:$P$21</xm:f>
          </x14:formula1>
          <xm:sqref>M5 G7:G24</xm:sqref>
        </x14:dataValidation>
        <x14:dataValidation type="list" allowBlank="1" showInputMessage="1" showErrorMessage="1" xr:uid="{00000000-0002-0000-0200-000007000000}">
          <x14:formula1>
            <xm:f>'Cost-Sheet'!$M$4:$M$6</xm:f>
          </x14:formula1>
          <xm:sqref>B16:D16</xm:sqref>
        </x14:dataValidation>
        <x14:dataValidation type="list" allowBlank="1" showInputMessage="1" showErrorMessage="1" xr:uid="{00000000-0002-0000-0200-000008000000}">
          <x14:formula1>
            <xm:f>'Cost-Sheet'!$Q$44:$Q$45</xm:f>
          </x14:formula1>
          <xm:sqref>B8</xm:sqref>
        </x14:dataValidation>
        <x14:dataValidation type="list" allowBlank="1" showInputMessage="1" showErrorMessage="1" xr:uid="{00000000-0002-0000-0200-000009000000}">
          <x14:formula1>
            <xm:f>'Cost-Sheet'!$P$44:$P$45</xm:f>
          </x14:formula1>
          <xm:sqref>E9:E14 D8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tabSelected="1" zoomScaleNormal="100" workbookViewId="0">
      <selection activeCell="F9" sqref="F9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9.7109375" style="44" bestFit="1" customWidth="1"/>
    <col min="4" max="4" width="10.42578125" customWidth="1"/>
    <col min="5" max="5" width="14.28515625" style="39" bestFit="1" customWidth="1"/>
    <col min="6" max="7" width="14.28515625" style="39" customWidth="1"/>
    <col min="8" max="8" width="12.42578125" bestFit="1" customWidth="1"/>
    <col min="9" max="9" width="16.28515625" bestFit="1" customWidth="1"/>
    <col min="10" max="10" width="11.5703125" customWidth="1"/>
    <col min="14" max="14" width="8.42578125" bestFit="1" customWidth="1"/>
  </cols>
  <sheetData>
    <row r="1" spans="1:14" x14ac:dyDescent="0.25">
      <c r="A1" s="1" t="s">
        <v>101</v>
      </c>
      <c r="B1" s="1"/>
      <c r="C1" s="40"/>
      <c r="D1" s="1"/>
      <c r="E1" s="35"/>
      <c r="F1" s="35"/>
      <c r="G1" s="35"/>
      <c r="H1" s="1"/>
      <c r="I1" s="1" t="s">
        <v>102</v>
      </c>
      <c r="J1" s="1"/>
    </row>
    <row r="2" spans="1:14" ht="23.25" x14ac:dyDescent="0.25">
      <c r="A2" s="80" t="str">
        <f>HYPERLINK('102025-1'!B3)</f>
        <v>Haji Ramzan Cold Storage -1</v>
      </c>
      <c r="B2" s="81"/>
      <c r="C2" s="81"/>
      <c r="D2" s="81"/>
      <c r="E2" s="81"/>
      <c r="F2" s="81"/>
      <c r="G2" s="81"/>
      <c r="H2" s="81"/>
      <c r="I2" s="81"/>
      <c r="J2" s="81"/>
    </row>
    <row r="3" spans="1:14" ht="15" customHeight="1" x14ac:dyDescent="0.25">
      <c r="A3" s="34" t="s">
        <v>124</v>
      </c>
      <c r="B3" s="82" t="str">
        <f>HYPERLINK('102025-1'!B2)</f>
        <v xml:space="preserve"> MT-2280-2022-09-26--102025</v>
      </c>
      <c r="C3" s="82"/>
      <c r="D3" s="82"/>
      <c r="E3" s="82"/>
      <c r="F3" s="82"/>
      <c r="G3" s="82"/>
      <c r="H3" s="82"/>
      <c r="I3" s="82"/>
      <c r="J3" s="82"/>
    </row>
    <row r="4" spans="1:14" x14ac:dyDescent="0.25">
      <c r="A4" s="34" t="s">
        <v>128</v>
      </c>
      <c r="B4" s="33"/>
      <c r="D4" s="33"/>
      <c r="E4" s="35"/>
      <c r="F4" s="35"/>
      <c r="G4" s="35"/>
      <c r="H4" s="1"/>
      <c r="I4" s="41" t="s">
        <v>127</v>
      </c>
      <c r="J4" s="1"/>
    </row>
    <row r="5" spans="1:14" x14ac:dyDescent="0.25">
      <c r="A5" s="83"/>
      <c r="B5" s="84"/>
      <c r="C5" s="84"/>
      <c r="D5" s="84"/>
      <c r="E5" s="84"/>
      <c r="F5" s="84"/>
      <c r="G5" s="84"/>
      <c r="H5" s="84"/>
      <c r="I5" s="84"/>
      <c r="J5" s="85"/>
    </row>
    <row r="6" spans="1:14" x14ac:dyDescent="0.25">
      <c r="A6" s="21" t="s">
        <v>103</v>
      </c>
      <c r="B6" s="21" t="s">
        <v>104</v>
      </c>
      <c r="C6" s="36" t="s">
        <v>125</v>
      </c>
      <c r="D6" s="21" t="s">
        <v>7</v>
      </c>
      <c r="E6" s="36" t="s">
        <v>105</v>
      </c>
      <c r="F6" s="36" t="s">
        <v>170</v>
      </c>
      <c r="G6" s="36" t="s">
        <v>171</v>
      </c>
      <c r="H6" s="21" t="s">
        <v>106</v>
      </c>
      <c r="I6" s="21" t="s">
        <v>107</v>
      </c>
      <c r="J6" s="21" t="s">
        <v>108</v>
      </c>
    </row>
    <row r="7" spans="1:14" x14ac:dyDescent="0.25">
      <c r="A7" s="22">
        <v>1</v>
      </c>
      <c r="B7" s="23" t="s">
        <v>109</v>
      </c>
      <c r="C7" s="37"/>
      <c r="D7" s="22"/>
      <c r="E7" s="37"/>
      <c r="F7" s="37"/>
      <c r="G7" s="37"/>
      <c r="H7" s="24"/>
      <c r="I7" s="24"/>
      <c r="J7" s="25"/>
      <c r="N7" s="29"/>
    </row>
    <row r="8" spans="1:14" x14ac:dyDescent="0.25">
      <c r="A8" s="22">
        <v>2</v>
      </c>
      <c r="B8" s="23" t="s">
        <v>6</v>
      </c>
      <c r="C8" s="42" t="str">
        <f>HYPERLINK('102025-1'!B22)</f>
        <v>18648.4747969496</v>
      </c>
      <c r="D8" s="22">
        <v>2</v>
      </c>
      <c r="E8" s="37">
        <f>D8*C8</f>
        <v>37296.949593899197</v>
      </c>
      <c r="F8" s="37">
        <v>38000</v>
      </c>
      <c r="G8" s="37">
        <f>E8-F8</f>
        <v>-703.05040610080323</v>
      </c>
      <c r="H8" s="24"/>
      <c r="I8" s="26"/>
      <c r="J8" s="25"/>
      <c r="N8" s="28"/>
    </row>
    <row r="9" spans="1:14" x14ac:dyDescent="0.25">
      <c r="A9" s="22">
        <v>3</v>
      </c>
      <c r="B9" s="23" t="s">
        <v>110</v>
      </c>
      <c r="C9" s="37"/>
      <c r="D9" s="22"/>
      <c r="E9" s="37">
        <f t="shared" ref="E9:E28" si="0">D9*C9</f>
        <v>0</v>
      </c>
      <c r="F9" s="37"/>
      <c r="G9" s="37"/>
      <c r="H9" s="24"/>
      <c r="I9" s="24"/>
      <c r="J9" s="25"/>
    </row>
    <row r="10" spans="1:14" x14ac:dyDescent="0.25">
      <c r="A10" s="22">
        <v>4</v>
      </c>
      <c r="B10" s="23" t="s">
        <v>111</v>
      </c>
      <c r="C10" s="43" t="str">
        <f>HYPERLINK('102025-1'!B24)</f>
        <v>4000</v>
      </c>
      <c r="D10" s="22">
        <v>1</v>
      </c>
      <c r="E10" s="37">
        <f t="shared" si="0"/>
        <v>4000</v>
      </c>
      <c r="F10" s="37"/>
      <c r="G10" s="37"/>
      <c r="H10" s="24"/>
      <c r="I10" s="24"/>
      <c r="J10" s="25"/>
    </row>
    <row r="11" spans="1:14" x14ac:dyDescent="0.25">
      <c r="A11" s="22">
        <v>5</v>
      </c>
      <c r="B11" s="23" t="s">
        <v>112</v>
      </c>
      <c r="C11" s="37"/>
      <c r="D11" s="22"/>
      <c r="E11" s="37">
        <f t="shared" si="0"/>
        <v>0</v>
      </c>
      <c r="F11" s="37"/>
      <c r="G11" s="37"/>
      <c r="H11" s="24"/>
      <c r="I11" s="24"/>
      <c r="J11" s="25"/>
    </row>
    <row r="12" spans="1:14" x14ac:dyDescent="0.25">
      <c r="A12" s="22">
        <v>6</v>
      </c>
      <c r="B12" s="23" t="s">
        <v>113</v>
      </c>
      <c r="C12" s="37"/>
      <c r="D12" s="22"/>
      <c r="E12" s="37">
        <f t="shared" si="0"/>
        <v>0</v>
      </c>
      <c r="F12" s="37"/>
      <c r="G12" s="37"/>
      <c r="H12" s="24"/>
      <c r="I12" s="24"/>
      <c r="J12" s="25"/>
    </row>
    <row r="13" spans="1:14" x14ac:dyDescent="0.25">
      <c r="A13" s="22">
        <v>7</v>
      </c>
      <c r="B13" s="23" t="s">
        <v>129</v>
      </c>
      <c r="C13" s="43" t="str">
        <f>HYPERLINK('102025-1'!B51)</f>
        <v>5000</v>
      </c>
      <c r="D13" s="22">
        <v>1</v>
      </c>
      <c r="E13" s="37">
        <f t="shared" si="0"/>
        <v>5000</v>
      </c>
      <c r="F13" s="37"/>
      <c r="G13" s="37"/>
      <c r="H13" s="24"/>
      <c r="I13" s="24"/>
      <c r="J13" s="25"/>
    </row>
    <row r="14" spans="1:14" x14ac:dyDescent="0.25">
      <c r="A14" s="22">
        <v>8</v>
      </c>
      <c r="B14" s="23" t="s">
        <v>126</v>
      </c>
      <c r="C14" s="43" t="str">
        <f>HYPERLINK('102025-1'!B49)</f>
        <v>7000</v>
      </c>
      <c r="D14" s="22">
        <v>1</v>
      </c>
      <c r="E14" s="37">
        <f t="shared" si="0"/>
        <v>7000</v>
      </c>
      <c r="F14" s="37"/>
      <c r="G14" s="37"/>
      <c r="H14" s="24"/>
      <c r="I14" s="24"/>
      <c r="J14" s="25"/>
    </row>
    <row r="15" spans="1:14" x14ac:dyDescent="0.25">
      <c r="A15" s="22">
        <v>9</v>
      </c>
      <c r="B15" s="23" t="s">
        <v>114</v>
      </c>
      <c r="C15" s="37"/>
      <c r="D15" s="22"/>
      <c r="E15" s="37">
        <f t="shared" si="0"/>
        <v>0</v>
      </c>
      <c r="F15" s="37"/>
      <c r="G15" s="37"/>
      <c r="H15" s="24"/>
      <c r="I15" s="24"/>
      <c r="J15" s="25"/>
    </row>
    <row r="16" spans="1:14" x14ac:dyDescent="0.25">
      <c r="A16" s="22">
        <v>10</v>
      </c>
      <c r="B16" s="23" t="s">
        <v>130</v>
      </c>
      <c r="C16" s="43" t="str">
        <f>HYPERLINK('102025-1'!E45)</f>
        <v>48000</v>
      </c>
      <c r="D16" s="22">
        <v>1</v>
      </c>
      <c r="E16" s="37">
        <f t="shared" si="0"/>
        <v>48000</v>
      </c>
      <c r="F16" s="37"/>
      <c r="G16" s="37"/>
      <c r="H16" s="24"/>
      <c r="I16" s="24"/>
      <c r="J16" s="25"/>
    </row>
    <row r="17" spans="1:10" x14ac:dyDescent="0.25">
      <c r="A17" s="22">
        <v>11</v>
      </c>
      <c r="B17" s="23" t="s">
        <v>115</v>
      </c>
      <c r="C17" s="37"/>
      <c r="D17" s="22"/>
      <c r="E17" s="37">
        <f t="shared" si="0"/>
        <v>0</v>
      </c>
      <c r="F17" s="37"/>
      <c r="G17" s="37"/>
      <c r="H17" s="24"/>
      <c r="I17" s="24"/>
      <c r="J17" s="25"/>
    </row>
    <row r="18" spans="1:10" x14ac:dyDescent="0.25">
      <c r="A18" s="22">
        <v>12</v>
      </c>
      <c r="B18" s="23" t="s">
        <v>116</v>
      </c>
      <c r="C18" s="37"/>
      <c r="D18" s="22"/>
      <c r="E18" s="37">
        <f t="shared" si="0"/>
        <v>0</v>
      </c>
      <c r="F18" s="37"/>
      <c r="G18" s="37"/>
      <c r="H18" s="24"/>
      <c r="I18" s="24"/>
      <c r="J18" s="25"/>
    </row>
    <row r="19" spans="1:10" x14ac:dyDescent="0.25">
      <c r="A19" s="22">
        <v>13</v>
      </c>
      <c r="B19" s="23" t="s">
        <v>117</v>
      </c>
      <c r="C19" s="37"/>
      <c r="D19" s="22"/>
      <c r="E19" s="37">
        <f t="shared" si="0"/>
        <v>0</v>
      </c>
      <c r="F19" s="37"/>
      <c r="G19" s="37"/>
      <c r="H19" s="24"/>
      <c r="I19" s="24"/>
      <c r="J19" s="25"/>
    </row>
    <row r="20" spans="1:10" x14ac:dyDescent="0.25">
      <c r="A20" s="22">
        <v>14</v>
      </c>
      <c r="B20" s="23" t="s">
        <v>118</v>
      </c>
      <c r="C20" s="37"/>
      <c r="D20" s="22"/>
      <c r="E20" s="37">
        <f t="shared" si="0"/>
        <v>0</v>
      </c>
      <c r="F20" s="37"/>
      <c r="G20" s="37"/>
      <c r="H20" s="27"/>
      <c r="I20" s="24"/>
      <c r="J20" s="25"/>
    </row>
    <row r="21" spans="1:10" x14ac:dyDescent="0.25">
      <c r="A21" s="22">
        <v>15</v>
      </c>
      <c r="B21" s="23" t="s">
        <v>119</v>
      </c>
      <c r="C21" s="43" t="str">
        <f>HYPERLINK('102025-1'!B19)</f>
        <v>118196.676224</v>
      </c>
      <c r="D21" s="22">
        <v>1</v>
      </c>
      <c r="E21" s="37">
        <f t="shared" si="0"/>
        <v>118196.676224</v>
      </c>
      <c r="F21" s="37"/>
      <c r="G21" s="37"/>
      <c r="H21" s="27"/>
      <c r="I21" s="24"/>
      <c r="J21" s="25"/>
    </row>
    <row r="22" spans="1:10" x14ac:dyDescent="0.25">
      <c r="A22" s="22">
        <v>16</v>
      </c>
      <c r="B22" s="23" t="s">
        <v>120</v>
      </c>
      <c r="C22" s="43" t="str">
        <f>HYPERLINK('102025-1'!B47)</f>
        <v>3000</v>
      </c>
      <c r="D22" s="22">
        <v>1</v>
      </c>
      <c r="E22" s="37">
        <f t="shared" si="0"/>
        <v>3000</v>
      </c>
      <c r="F22" s="37"/>
      <c r="G22" s="37"/>
      <c r="H22" s="24"/>
      <c r="I22" s="24"/>
      <c r="J22" s="25"/>
    </row>
    <row r="23" spans="1:10" x14ac:dyDescent="0.25">
      <c r="A23" s="22">
        <v>17</v>
      </c>
      <c r="B23" s="23" t="s">
        <v>28</v>
      </c>
      <c r="C23" s="43" t="str">
        <f>HYPERLINK('102025-1'!D27)</f>
        <v>900</v>
      </c>
      <c r="D23" s="22">
        <v>1</v>
      </c>
      <c r="E23" s="37">
        <f t="shared" si="0"/>
        <v>900</v>
      </c>
      <c r="F23" s="37"/>
      <c r="G23" s="37"/>
      <c r="H23" s="24"/>
      <c r="I23" s="24"/>
      <c r="J23" s="25"/>
    </row>
    <row r="24" spans="1:10" x14ac:dyDescent="0.25">
      <c r="A24" s="22">
        <v>18</v>
      </c>
      <c r="B24" s="23" t="s">
        <v>30</v>
      </c>
      <c r="C24" s="43" t="str">
        <f>HYPERLINK('102025-1'!D30)</f>
        <v>1100</v>
      </c>
      <c r="D24" s="22">
        <v>1</v>
      </c>
      <c r="E24" s="37">
        <f t="shared" si="0"/>
        <v>1100</v>
      </c>
      <c r="F24" s="37"/>
      <c r="G24" s="37"/>
      <c r="H24" s="24"/>
      <c r="I24" s="24"/>
      <c r="J24" s="25"/>
    </row>
    <row r="25" spans="1:10" x14ac:dyDescent="0.25">
      <c r="A25" s="22">
        <v>19</v>
      </c>
      <c r="B25" s="23" t="s">
        <v>0</v>
      </c>
      <c r="C25" s="43" t="str">
        <f>HYPERLINK('102025-1'!C33)</f>
        <v>500</v>
      </c>
      <c r="D25" s="22">
        <v>1</v>
      </c>
      <c r="E25" s="37">
        <f t="shared" si="0"/>
        <v>500</v>
      </c>
      <c r="F25" s="37"/>
      <c r="G25" s="37"/>
      <c r="H25" s="24"/>
      <c r="I25" s="24"/>
      <c r="J25" s="25"/>
    </row>
    <row r="26" spans="1:10" x14ac:dyDescent="0.25">
      <c r="A26" s="22">
        <v>20</v>
      </c>
      <c r="B26" s="23" t="s">
        <v>33</v>
      </c>
      <c r="C26" s="43" t="str">
        <f>HYPERLINK('102025-1'!C36)</f>
        <v>260</v>
      </c>
      <c r="D26" s="22">
        <v>1</v>
      </c>
      <c r="E26" s="37">
        <f t="shared" si="0"/>
        <v>260</v>
      </c>
      <c r="F26" s="37"/>
      <c r="G26" s="37"/>
      <c r="H26" s="24"/>
      <c r="I26" s="24"/>
      <c r="J26" s="25"/>
    </row>
    <row r="27" spans="1:10" x14ac:dyDescent="0.25">
      <c r="A27" s="22">
        <v>21</v>
      </c>
      <c r="B27" s="23" t="s">
        <v>35</v>
      </c>
      <c r="C27" s="43" t="str">
        <f>HYPERLINK('102025-1'!D42)</f>
        <v>1160</v>
      </c>
      <c r="D27" s="22">
        <v>1</v>
      </c>
      <c r="E27" s="37">
        <f t="shared" si="0"/>
        <v>1160</v>
      </c>
      <c r="F27" s="37"/>
      <c r="G27" s="37"/>
      <c r="H27" s="24"/>
      <c r="I27" s="24"/>
      <c r="J27" s="25"/>
    </row>
    <row r="28" spans="1:10" x14ac:dyDescent="0.25">
      <c r="A28" s="22">
        <v>22</v>
      </c>
      <c r="B28" s="23" t="s">
        <v>9</v>
      </c>
      <c r="C28" s="43" t="str">
        <f>HYPERLINK('102025-1'!C39)</f>
        <v>440</v>
      </c>
      <c r="D28" s="22">
        <v>1</v>
      </c>
      <c r="E28" s="37">
        <f t="shared" si="0"/>
        <v>440</v>
      </c>
      <c r="F28" s="37"/>
      <c r="G28" s="37"/>
      <c r="H28" s="24"/>
      <c r="I28" s="24"/>
      <c r="J28" s="25"/>
    </row>
    <row r="29" spans="1:10" x14ac:dyDescent="0.25">
      <c r="A29" s="23"/>
      <c r="B29" s="23"/>
      <c r="C29" s="45"/>
      <c r="D29" s="46"/>
      <c r="E29" s="47">
        <f>SUM(E7:E28)</f>
        <v>226853.62581789918</v>
      </c>
      <c r="F29" s="47"/>
      <c r="G29" s="47"/>
      <c r="H29" s="48"/>
      <c r="I29" s="49"/>
      <c r="J29" s="49"/>
    </row>
    <row r="30" spans="1:10" x14ac:dyDescent="0.25">
      <c r="A30" s="23"/>
      <c r="B30" s="23"/>
      <c r="C30" s="37"/>
      <c r="D30" s="23"/>
      <c r="E30" s="38"/>
      <c r="F30" s="38"/>
      <c r="G30" s="38"/>
      <c r="H30" s="23"/>
      <c r="I30" s="23"/>
      <c r="J30" s="23"/>
    </row>
    <row r="31" spans="1:10" x14ac:dyDescent="0.25">
      <c r="C31"/>
      <c r="E31"/>
      <c r="F31"/>
      <c r="G31"/>
    </row>
    <row r="32" spans="1:10" x14ac:dyDescent="0.25">
      <c r="A32" t="s">
        <v>121</v>
      </c>
      <c r="C32"/>
      <c r="D32" t="s">
        <v>122</v>
      </c>
      <c r="E32"/>
      <c r="F32"/>
      <c r="G32"/>
      <c r="I32" t="s">
        <v>123</v>
      </c>
    </row>
  </sheetData>
  <mergeCells count="3">
    <mergeCell ref="A2:J2"/>
    <mergeCell ref="B3:J3"/>
    <mergeCell ref="A5:J5"/>
  </mergeCells>
  <pageMargins left="0.7" right="0.7" top="0.75" bottom="0.75" header="0.3" footer="0.3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112417 - 2 (2)</vt:lpstr>
      <vt:lpstr>Cost-Sheet</vt:lpstr>
      <vt:lpstr>102025-1</vt:lpstr>
      <vt:lpstr>Cash Demand 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SAHAMID.COM</dc:creator>
  <cp:lastModifiedBy>dev10</cp:lastModifiedBy>
  <cp:lastPrinted>2022-09-20T06:58:22Z</cp:lastPrinted>
  <dcterms:created xsi:type="dcterms:W3CDTF">2018-07-21T10:47:29Z</dcterms:created>
  <dcterms:modified xsi:type="dcterms:W3CDTF">2022-11-04T11:20:52Z</dcterms:modified>
</cp:coreProperties>
</file>